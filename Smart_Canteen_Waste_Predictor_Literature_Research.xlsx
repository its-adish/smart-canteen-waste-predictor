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Read Me" sheetId="1" state="visible" r:id="rId3"/>
    <sheet name="1. Papers" sheetId="2" state="visible" r:id="rId4"/>
    <sheet name="2. Algorithms" sheetId="3" state="visible" r:id="rId5"/>
    <sheet name="3. Algorithm Frequency" sheetId="4" state="visible" r:id="rId6"/>
    <sheet name="4. Datasets" sheetId="5" state="visible" r:id="rId7"/>
    <sheet name="5. Feature Engineering" sheetId="6" state="visible" r:id="rId8"/>
    <sheet name="6. Evaluation Metrics" sheetId="7" state="visible" r:id="rId9"/>
    <sheet name="7. Research Gaps" sheetId="8" state="visible" r:id="rId10"/>
    <sheet name="8. Technology Trends" sheetId="9" state="visible" r:id="rId11"/>
    <sheet name="9. Chronological Evolution" sheetId="10" state="visible" r:id="rId12"/>
    <sheet name="10. Final Summary" sheetId="11" state="visible" r:id="rId13"/>
  </sheets>
  <definedNames>
    <definedName function="false" hidden="true" localSheetId="1" name="_xlnm._FilterDatabase" vbProcedure="false">'1. Papers'!$A$2:$L$2</definedName>
    <definedName function="false" hidden="true" localSheetId="10" name="_xlnm._FilterDatabase" vbProcedure="false">'10. Final Summary'!$A$2:$B$2</definedName>
    <definedName function="false" hidden="true" localSheetId="2" name="_xlnm._FilterDatabase" vbProcedure="false">'2. Algorithms'!$A$2:$J$2</definedName>
    <definedName function="false" hidden="true" localSheetId="3" name="_xlnm._FilterDatabase" vbProcedure="false">'3. Algorithm Frequency'!$A$2:$G$2</definedName>
    <definedName function="false" hidden="true" localSheetId="4" name="_xlnm._FilterDatabase" vbProcedure="false">'4. Datasets'!$A$2:$I$2</definedName>
    <definedName function="false" hidden="true" localSheetId="5" name="_xlnm._FilterDatabase" vbProcedure="false">'5. Feature Engineering'!$A$2:$F$2</definedName>
    <definedName function="false" hidden="true" localSheetId="6" name="_xlnm._FilterDatabase" vbProcedure="false">'6. Evaluation Metrics'!$A$2:$E$2</definedName>
    <definedName function="false" hidden="true" localSheetId="7" name="_xlnm._FilterDatabase" vbProcedure="false">'7. Research Gaps'!$A$2:$C$2</definedName>
    <definedName function="false" hidden="true" localSheetId="8" name="_xlnm._FilterDatabase" vbProcedure="false">'8. Technology Trends'!$A$2:$D$2</definedName>
    <definedName function="false" hidden="true" localSheetId="9" name="_xlnm._FilterDatabase" vbProcedure="false">'9. Chronological Evolution'!$A$2:$D$2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<sst xmlns="http://schemas.openxmlformats.org/spreadsheetml/2006/main" count="1368" uniqueCount="1043">
  <si>
    <t xml:space="preserve">Smart Canteen Waste Predictor — Literature Research Workbook</t>
  </si>
  <si>
    <t xml:space="preserve">Scope and honesty note:</t>
  </si>
  <si>
    <t xml:space="preserve">This workbook compiles ~39 real, verifiable papers/sources found via targeted web search across</t>
  </si>
  <si>
    <t xml:space="preserve">IEEE Xplore, Springer, Elsevier/ScienceDirect, MDPI, Wiley, Frontiers, arXiv, and related venues,</t>
  </si>
  <si>
    <t xml:space="preserve">plus several practitioner/GitHub/Kaggle sources for dataset context. It does NOT contain 100+ papers:</t>
  </si>
  <si>
    <t xml:space="preserve">fabricating DOIs, citation counts, or metadata to hit a round number would make this workbook less</t>
  </si>
  <si>
    <t xml:space="preserve">useful for your actual literature review, not more. Every 'Not available' or 'Not stated' cell means</t>
  </si>
  <si>
    <t xml:space="preserve">that field genuinely could not be confirmed from available sources — nothing has been guessed.</t>
  </si>
  <si>
    <t xml:space="preserve">Before formal citation, verify each DOI/URL directly (especially rows marked 'Not confirmed — see URL'),</t>
  </si>
  <si>
    <t xml:space="preserve">since some publisher DOIs could not be independently confirmed from search snippets alone.</t>
  </si>
  <si>
    <t xml:space="preserve">Sheet guide:</t>
  </si>
  <si>
    <t xml:space="preserve">1. Papers — full bibliographic table (39 sources)</t>
  </si>
  <si>
    <t xml:space="preserve">2. Algorithms — per-paper algorithm extraction, grouped by category</t>
  </si>
  <si>
    <t xml:space="preserve">3. Algorithm Frequency — cross-paper frequency, pros/cons, trend direction</t>
  </si>
  <si>
    <t xml:space="preserve">4. Datasets — every dataset identified, public vs private, sample sizes</t>
  </si>
  <si>
    <t xml:space="preserve">5. Feature Engineering — every input feature identified across the literature</t>
  </si>
  <si>
    <t xml:space="preserve">6. Evaluation Metrics — formulas and interpretation for every metric seen</t>
  </si>
  <si>
    <t xml:space="preserve">7. Research Gaps — explicit limitations/future-work statements, synthesized</t>
  </si>
  <si>
    <t xml:space="preserve">8. Technology Trends — including 2 honestly-flagged 'not found' rows (RL, digital twins)</t>
  </si>
  <si>
    <t xml:space="preserve">9. Chronological Evolution — 2015-2026 timeline of algorithms and breakthroughs</t>
  </si>
  <si>
    <t xml:space="preserve">10. Final Summary — synthesis and design recommendations for your project</t>
  </si>
  <si>
    <t xml:space="preserve">This is a research-organization deliverable only — no implementation, architecture, or code is included,</t>
  </si>
  <si>
    <t xml:space="preserve">per your brief.</t>
  </si>
  <si>
    <t xml:space="preserve">Table 1 — Research Papers. 'Not available' = data point genuinely not found in available sources (never fabricated). Verify DOIs/citation counts directly before citing formally.</t>
  </si>
  <si>
    <t xml:space="preserve">Paper Title</t>
  </si>
  <si>
    <t xml:space="preserve">Authors</t>
  </si>
  <si>
    <t xml:space="preserve">Year</t>
  </si>
  <si>
    <t xml:space="preserve">Journal/Conference</t>
  </si>
  <si>
    <t xml:space="preserve">DOI</t>
  </si>
  <si>
    <t xml:space="preserve">URL</t>
  </si>
  <si>
    <t xml:space="preserve">Publisher</t>
  </si>
  <si>
    <t xml:space="preserve">Research Problem</t>
  </si>
  <si>
    <t xml:space="preserve">Dataset Used</t>
  </si>
  <si>
    <t xml:space="preserve">Country</t>
  </si>
  <si>
    <t xml:space="preserve">Citation Count (if available)</t>
  </si>
  <si>
    <t xml:space="preserve">Notes</t>
  </si>
  <si>
    <t xml:space="preserve">Strategies for Automated Identification of Food Waste in University Cafeterias: A Machine Vision Recognition Approach</t>
  </si>
  <si>
    <t xml:space="preserve">Not stated in available metadata</t>
  </si>
  <si>
    <t xml:space="preserve">Applied Sciences (MDPI)</t>
  </si>
  <si>
    <t xml:space="preserve">10.3390/app15095036</t>
  </si>
  <si>
    <t xml:space="preserve">https://doi.org/10.3390/app15095036</t>
  </si>
  <si>
    <t xml:space="preserve">MDPI</t>
  </si>
  <si>
    <t xml:space="preserve">Automated 'Clean Plate' recognition via machine vision to reduce university canteen food waste</t>
  </si>
  <si>
    <t xml:space="preserve">Custom cafeteria plate/face images (Capital Normal University platform)</t>
  </si>
  <si>
    <t xml:space="preserve">China</t>
  </si>
  <si>
    <t xml:space="preserve">Not available</t>
  </si>
  <si>
    <t xml:space="preserve">Combines object detection + face recognition + point-redemption incentive; compares U-Net, PSPNet, DeepLabV3+</t>
  </si>
  <si>
    <t xml:space="preserve">Food Demand Forecasting with Machine Learning Methods: An Application Using Decision Tree</t>
  </si>
  <si>
    <t xml:space="preserve">Not fully specified</t>
  </si>
  <si>
    <t xml:space="preserve">Working paper (ResearchGate preprint)</t>
  </si>
  <si>
    <t xml:space="preserve">https://www.researchgate.net/publication/390201219_FOOD_DEMAND_FORECASTING_WITH_MACHINE_LEARNING_METHODS_AN_APPLICATION_USING_DECISION_TREE</t>
  </si>
  <si>
    <t xml:space="preserve">ResearchGate (preprint)</t>
  </si>
  <si>
    <t xml:space="preserve">Predict daily food demand in a company canteen using Decision Tree</t>
  </si>
  <si>
    <t xml:space="preserve">31-day (Oct 2023) company canteen order records</t>
  </si>
  <si>
    <t xml:space="preserve">Turkey (inferred)</t>
  </si>
  <si>
    <t xml:space="preserve">RF &amp; LSTM models cited as cutting waste 14-52%; weekend demand ~17.4% higher than weekday</t>
  </si>
  <si>
    <t xml:space="preserve">Machine-learning-based demand forecasting against food waste: Life cycle environmental impacts and benefits of a bakery case study</t>
  </si>
  <si>
    <t xml:space="preserve">N. Hübner, J. Caspers, V.C. Coroamă, M. Finkbeiner</t>
  </si>
  <si>
    <t xml:space="preserve">Journal of Industrial Ecology</t>
  </si>
  <si>
    <t xml:space="preserve">10.1111/jiec.13528</t>
  </si>
  <si>
    <t xml:space="preserve">https://onlinelibrary.wiley.com/doi/10.1111/jiec.13528</t>
  </si>
  <si>
    <t xml:space="preserve">Wiley</t>
  </si>
  <si>
    <t xml:space="preserve">Life-cycle assessment of ML demand forecasting ('Foodforecast') reducing bakery overproduction</t>
  </si>
  <si>
    <t xml:space="preserve">Real-world bakery sales/returns data</t>
  </si>
  <si>
    <t xml:space="preserve">Germany</t>
  </si>
  <si>
    <t xml:space="preserve">'Foodforecast' led to ~30% average reduction in bakery returns (2022); also assesses ML's own environmental footprint</t>
  </si>
  <si>
    <t xml:space="preserve">Machine learning models for short-term demand forecasting in food catering services: A solution to reduce food waste</t>
  </si>
  <si>
    <t xml:space="preserve">Not specified in snippet</t>
  </si>
  <si>
    <t xml:space="preserve">Journal of Cleaner Production (inferred)</t>
  </si>
  <si>
    <t xml:space="preserve">Not confirmed — see URL</t>
  </si>
  <si>
    <t xml:space="preserve">https://www.sciencedirect.com/science/article/pii/S0959652623044232</t>
  </si>
  <si>
    <t xml:space="preserve">Elsevier</t>
  </si>
  <si>
    <t xml:space="preserve">Short-term demand forecasting for food catering services to reduce waste</t>
  </si>
  <si>
    <t xml:space="preserve">Not stated</t>
  </si>
  <si>
    <t xml:space="preserve">Only title/abstract snippet retrieved; recommend full-text retrieval for methodology details</t>
  </si>
  <si>
    <t xml:space="preserve">A Data-Driven Predictive Approach to Achieve Waste Management at the Local Scale: A Case Study in a University Cafeteria</t>
  </si>
  <si>
    <t xml:space="preserve">Sustainability (MDPI), 18(9), 4546</t>
  </si>
  <si>
    <t xml:space="preserve">10.3390/su18094546</t>
  </si>
  <si>
    <t xml:space="preserve">https://www.mdpi.com/2071-1050/18/9/4546</t>
  </si>
  <si>
    <t xml:space="preserve">Predictive modeling of cafeteria solid waste from user turnover and behavioral survey data</t>
  </si>
  <si>
    <t xml:space="preserve">20-day waste characterization + 705 valid user surveys (772 collected)</t>
  </si>
  <si>
    <t xml:space="preserve">Panama</t>
  </si>
  <si>
    <t xml:space="preserve">Uses simple linear regression + rule-based classifier; explicitly notes advanced ML often infeasible for resource-limited institutions</t>
  </si>
  <si>
    <t xml:space="preserve">Machine Learning Based Approach to Reduce Food Wastage</t>
  </si>
  <si>
    <t xml:space="preserve">Not specified</t>
  </si>
  <si>
    <t xml:space="preserve">IEEE Conference Publication</t>
  </si>
  <si>
    <t xml:space="preserve">https://ieeexplore.ieee.org/document/10417516/</t>
  </si>
  <si>
    <t xml:space="preserve">IEEE</t>
  </si>
  <si>
    <t xml:space="preserve">Food wastage prediction/analysis, demand &amp; ingredient optimization, near-expiry pricing, recycling prediction</t>
  </si>
  <si>
    <t xml:space="preserve">Four-module application combining ML + predictive modeling for restaurants/food administrators</t>
  </si>
  <si>
    <t xml:space="preserve">An Empirical Study on Food-Retail Demand Forecasting: A Comparative Analysis of Traditional Time Series and Deep Learning Models</t>
  </si>
  <si>
    <t xml:space="preserve">Working paper (Academia.edu)</t>
  </si>
  <si>
    <t xml:space="preserve">https://www.academia.edu/67842527/An_Empirical_Study_on_Food_Retail_Demand_Forecasting_A_Comparative_Analysis_of_Traditional_Time_Series_and_Deep_Learning_Models</t>
  </si>
  <si>
    <t xml:space="preserve">Academia.edu (preprint host)</t>
  </si>
  <si>
    <t xml:space="preserve">Compare SARIMA, Prophet, and LSTM for café POS demand forecasting</t>
  </si>
  <si>
    <t xml:space="preserve">Café point-of-sale (POS) dataset, 3 menu items</t>
  </si>
  <si>
    <t xml:space="preserve">LSTM generally outperforms; SARIMA better for small-sample menu; Prophet best for event-driven menu</t>
  </si>
  <si>
    <t xml:space="preserve">Time Series Forecasting and Modeling of Food Demand Supply Chain Based on Regressors Analysis</t>
  </si>
  <si>
    <t xml:space="preserve">IEEE Journals &amp; Magazine</t>
  </si>
  <si>
    <t xml:space="preserve">https://ieeexplore.ieee.org/document/10098799/</t>
  </si>
  <si>
    <t xml:space="preserve">Compare 7 regressors forecasting number of food orders</t>
  </si>
  <si>
    <t xml:space="preserve">Genpact 'Food Demand Forecasting' hackathon dataset</t>
  </si>
  <si>
    <t xml:space="preserve">RF, GBR, LightGBM, XGBoost, CatBoost, LSTM, BiLSTM compared; LSTM best (RMSLE 0.28, RMSE 18.83)</t>
  </si>
  <si>
    <t xml:space="preserve">Leveraging Machine Learning to Predict Food Waste Quantity: Focusing on Military Dining Facilities as Large-Scale Food Service Operations</t>
  </si>
  <si>
    <t xml:space="preserve">Kim et al.</t>
  </si>
  <si>
    <t xml:space="preserve">Journal of Forecasting</t>
  </si>
  <si>
    <t xml:space="preserve">10.1002/for.70128</t>
  </si>
  <si>
    <t xml:space="preserve">https://onlinelibrary.wiley.com/doi/10.1002/for.70128</t>
  </si>
  <si>
    <t xml:space="preserve">ML-based plate/food waste quantity prediction in large-scale (military) dining, generalizable to schools/corporate cafeterias</t>
  </si>
  <si>
    <t xml:space="preserve">Military dining facility operational and menu data</t>
  </si>
  <si>
    <t xml:space="preserve">Not explicitly stated</t>
  </si>
  <si>
    <t xml:space="preserve">Authors caution that menu/user/procedure differences require institution-specific validation before transfer</t>
  </si>
  <si>
    <t xml:space="preserve">Preventing food waste in subsidy-based university dining systems: An artificial neural network-aided model under uncertainty</t>
  </si>
  <si>
    <t xml:space="preserve">Mohammadali Faezirad, Alireza Pooya, Zahra Naji-Azimi, Maryam Amir Haeri</t>
  </si>
  <si>
    <t xml:space="preserve">Waste Management &amp; Research</t>
  </si>
  <si>
    <t xml:space="preserve">10.1177/0734242X211017974</t>
  </si>
  <si>
    <t xml:space="preserve">https://doi.org/10.1177/0734242x211017974</t>
  </si>
  <si>
    <t xml:space="preserve">SAGE</t>
  </si>
  <si>
    <t xml:space="preserve">ANN-based model using meal-booking data to reduce food waste in subsidized university dining</t>
  </si>
  <si>
    <t xml:space="preserve">University meal booking/reservation records</t>
  </si>
  <si>
    <t xml:space="preserve">Iran</t>
  </si>
  <si>
    <t xml:space="preserve">Addresses uncertainty in student attendance/booking behavior</t>
  </si>
  <si>
    <t xml:space="preserve">Increasing Customer Awareness on Food Waste at University Cafeteria with a Sensor-Based Intelligent Self-Serve Lunch Line</t>
  </si>
  <si>
    <t xml:space="preserve">https://ieeexplore.ieee.org/document/9198571/</t>
  </si>
  <si>
    <t xml:space="preserve">Sensor-based tracking + mobile app display of individual consumer plate waste to drive behavior change</t>
  </si>
  <si>
    <t xml:space="preserve">Real customer usage data (700+ users, snippet truncated)</t>
  </si>
  <si>
    <t xml:space="preserve">Focuses on consumer-side (not overproduction) waste; Hevner design-science research method</t>
  </si>
  <si>
    <t xml:space="preserve">Artificial intelligence in food system: Innovative approach to minimizing food spoilage and food waste</t>
  </si>
  <si>
    <t xml:space="preserve">ScienceDirect journal (exact title not confirmed)</t>
  </si>
  <si>
    <t xml:space="preserve">https://www.sciencedirect.com/science/article/pii/S2666154325002662</t>
  </si>
  <si>
    <t xml:space="preserve">Review of AI approaches (cold-chain analytics, demand forecasting, computer vision) minimizing spoilage/waste</t>
  </si>
  <si>
    <t xml:space="preserve">N/A (review)</t>
  </si>
  <si>
    <t xml:space="preserve">N/A</t>
  </si>
  <si>
    <t xml:space="preserve">Cites Hübner et al. 2024 bakery case and ~14.8% waste reduction for Shelf Engine/Afresh case studies</t>
  </si>
  <si>
    <t xml:space="preserve">Food Waste Detection in Canteen Plates with Visual Large Language Models</t>
  </si>
  <si>
    <t xml:space="preserve">Springer Nature (book chapter/proceedings)</t>
  </si>
  <si>
    <t xml:space="preserve">10.1007/978-3-032-05179-0_3</t>
  </si>
  <si>
    <t xml:space="preserve">https://link.springer.com/chapter/10.1007/978-3-032-05179-0_3</t>
  </si>
  <si>
    <t xml:space="preserve">Springer Nature</t>
  </si>
  <si>
    <t xml:space="preserve">Use Visual Large Language Models (VLLMs) + Dual-Level Visual Knowledge (DLVK) to detect/quantify canteen plate waste</t>
  </si>
  <si>
    <t xml:space="preserve">Canteen plate images (custom)</t>
  </si>
  <si>
    <t xml:space="preserve">Builds directly on the YOLOv11 plate-waste work below (Ferreira et al. 2025)</t>
  </si>
  <si>
    <t xml:space="preserve">Food Recognition and Food Waste Estimation Using Convolutional Neural Network</t>
  </si>
  <si>
    <t xml:space="preserve">Electronics (MDPI)</t>
  </si>
  <si>
    <t xml:space="preserve">10.3390/electronics11223746</t>
  </si>
  <si>
    <t xml:space="preserve">https://doi.org/10.3390/electronics11223746</t>
  </si>
  <si>
    <t xml:space="preserve">CNN-based food recognition + before/after plate image comparison to estimate % food waste</t>
  </si>
  <si>
    <t xml:space="preserve">1,354 collected plate images</t>
  </si>
  <si>
    <t xml:space="preserve">5-layer CNN; waste computed as masked-area difference between before/after images</t>
  </si>
  <si>
    <t xml:space="preserve">Food Waste Detection in Canteen Plates Using YOLOv11</t>
  </si>
  <si>
    <t xml:space="preserve">Ferreira, J.; Cerqueira, P.; Ribeiro, J.</t>
  </si>
  <si>
    <t xml:space="preserve">Applied Sciences (MDPI), 15(13), 7137</t>
  </si>
  <si>
    <t xml:space="preserve">10.3390/app15137137</t>
  </si>
  <si>
    <t xml:space="preserve">https://doi.org/10.3390/app15137137</t>
  </si>
  <si>
    <t xml:space="preserve">CV-based % food-waste classification on canteen plates, edible vs non-edible discard</t>
  </si>
  <si>
    <t xml:space="preserve">Custom canteen plate images (before/after lunch/dinner) + augmentation</t>
  </si>
  <si>
    <t xml:space="preserve">Direct predecessor cited by the VLLM paper above</t>
  </si>
  <si>
    <t xml:space="preserve">An Intelligent Detection System for Monitoring Food Waste in School Dining Rooms</t>
  </si>
  <si>
    <t xml:space="preserve">Springer Nature (book chapter)</t>
  </si>
  <si>
    <t xml:space="preserve">10.1007/978-981-97-3316-3_2</t>
  </si>
  <si>
    <t xml:space="preserve">https://link.springer.com/chapter/10.1007/978-981-97-3316-3_2</t>
  </si>
  <si>
    <t xml:space="preserve">'Clear Plate' recognition prototype system for school dining rooms</t>
  </si>
  <si>
    <t xml:space="preserve">Clear-plate sample images (custom-collected)</t>
  </si>
  <si>
    <t xml:space="preserve">China (inferred)</t>
  </si>
  <si>
    <t xml:space="preserve">Uses a YOLOv4-style object detection pipeline</t>
  </si>
  <si>
    <t xml:space="preserve">Kitchen Food Waste Image Segmentation and Recognition</t>
  </si>
  <si>
    <t xml:space="preserve">arXiv preprint</t>
  </si>
  <si>
    <t xml:space="preserve">10.48550/arXiv.2401.15175</t>
  </si>
  <si>
    <t xml:space="preserve">https://arxiv.org/pdf/2401.15175</t>
  </si>
  <si>
    <t xml:space="preserve">arXiv</t>
  </si>
  <si>
    <t xml:space="preserve">Instance segmentation of kitchen food waste images for recycling/composting pipelines</t>
  </si>
  <si>
    <t xml:space="preserve">3,128 custom high-resolution smartphone images, manually annotated</t>
  </si>
  <si>
    <t xml:space="preserve">Uses CNN + Vision Transformer backbones</t>
  </si>
  <si>
    <t xml:space="preserve">Artificial Intelligence in the Food Industry: Food Waste Estimation based on Computer Vision, a Brief Case Study in a University Dining Hall</t>
  </si>
  <si>
    <t xml:space="preserve">10.48550/arXiv.2507.14662</t>
  </si>
  <si>
    <t xml:space="preserve">https://arxiv.org/abs/2507.14662</t>
  </si>
  <si>
    <t xml:space="preserve">CV-based real-time waste tracking case study in a university dining hall</t>
  </si>
  <si>
    <t xml:space="preserve">University dining hall plate-image data</t>
  </si>
  <si>
    <t xml:space="preserve">Positioned against DeepFood and other food-image-recognition literature</t>
  </si>
  <si>
    <t xml:space="preserve">A Machine Learning Framework for Predicting Restaurant Food Waste to Support Sustainable Food Management</t>
  </si>
  <si>
    <t xml:space="preserve">10.48550/arXiv.2609.08078</t>
  </si>
  <si>
    <t xml:space="preserve">https://arxiv.org/html/2609.08078</t>
  </si>
  <si>
    <t xml:space="preserve">Predict restaurant food waste from operational features, with explicit leakage/ablation analysis</t>
  </si>
  <si>
    <t xml:space="preserve">Publicly released restaurant operational dataset (authors' own)</t>
  </si>
  <si>
    <t xml:space="preserve">Random Forest best (MAE 6.19kg, RMSE 8.36kg, R²=0.817 on leakage-free feature subset); flags 'num_orders' as a leakage-prone feature</t>
  </si>
  <si>
    <t xml:space="preserve">An Ensemble ML Model to Predict the Wastage of Food: Towards Achieving the Food Sustainability</t>
  </si>
  <si>
    <t xml:space="preserve">Preprint / conference paper</t>
  </si>
  <si>
    <t xml:space="preserve">Not available (preprint)</t>
  </si>
  <si>
    <t xml:space="preserve">https://www.researchgate.net/publication/373285828_An_Ensemble_ML_Model_to_Predict_the_Wastage_of_Food_Towards_Achieving_the_Food_Sustainability</t>
  </si>
  <si>
    <t xml:space="preserve">Ensemble ML (RF+GBM+AdaBoost) to predict food waste in a student hostel mess and identify best algorithm combination</t>
  </si>
  <si>
    <t xml:space="preserve">6 months of mess records, 18 engineered features</t>
  </si>
  <si>
    <t xml:space="preserve">Bangladesh (Dhaka)</t>
  </si>
  <si>
    <t xml:space="preserve">Best ensemble (RF+AdaBoost) F1=86.88%; standalone RF &amp; Decision Tree ~75.41% accuracy reported in related work</t>
  </si>
  <si>
    <t xml:space="preserve">Food Security via Food Waste Prevention: Categorization of Household Food Waste for Artificial Intelligence-Driven Interventions</t>
  </si>
  <si>
    <t xml:space="preserve">Engineering Proceedings (MDPI)</t>
  </si>
  <si>
    <t xml:space="preserve">10.3390/engproc2023040004</t>
  </si>
  <si>
    <t xml:space="preserve">https://doi.org/10.3390/engproc2023040004</t>
  </si>
  <si>
    <t xml:space="preserve">Systematic review + categorization framework of household food waste for future AI-driven interventions</t>
  </si>
  <si>
    <t xml:space="preserve">Reports global food waste ~1.3 billion tons/year; households ~61% of that total</t>
  </si>
  <si>
    <t xml:space="preserve">Exploring the potential of AI-driven food waste management strategies used in the hospitality industry for application in household settings</t>
  </si>
  <si>
    <t xml:space="preserve">Frontiers in Artificial Intelligence</t>
  </si>
  <si>
    <t xml:space="preserve">10.3389/frai.2024.1429477</t>
  </si>
  <si>
    <t xml:space="preserve">https://www.frontiersin.org/journals/artificial-intelligence/articles/10.3389/frai.2024.1429477/full</t>
  </si>
  <si>
    <t xml:space="preserve">Frontiers</t>
  </si>
  <si>
    <t xml:space="preserve">Review of hospitality-sector AI food-waste strategies with transferability assessment to households</t>
  </si>
  <si>
    <t xml:space="preserve">Synthesizes prior hospitality food-waste systematic reviews (e.g., Dhir et al. 2020)</t>
  </si>
  <si>
    <t xml:space="preserve">A Systematic Review of AI-Based Techniques for Automated Waste Classification</t>
  </si>
  <si>
    <t xml:space="preserve">PMC-hosted journal (exact title not fully confirmed)</t>
  </si>
  <si>
    <t xml:space="preserve">https://www.ncbi.nlm.nih.gov/pmc/articles/PMC12115937/</t>
  </si>
  <si>
    <t xml:space="preserve">PMC (NCBI)</t>
  </si>
  <si>
    <t xml:space="preserve">SLR (Kitchenham + PRISMA) of AI/ML/DL techniques for waste classification, incl. 15+ public datasets</t>
  </si>
  <si>
    <t xml:space="preserve">N/A (review of 97+ studies)</t>
  </si>
  <si>
    <t xml:space="preserve">CNN + transfer learning dominate; flags dataset imbalance and real-world variability as key limitations</t>
  </si>
  <si>
    <t xml:space="preserve">Food Waste Reduction: A Systematic Literature Review on Integrating Policies, Consumer Behavior, and Innovation</t>
  </si>
  <si>
    <t xml:space="preserve">Sustainability (MDPI), 17(7), 3236</t>
  </si>
  <si>
    <t xml:space="preserve">https://www.mdpi.com/2071-1050/17/7/3236</t>
  </si>
  <si>
    <t xml:space="preserve">SLR integrating policy, consumer-behavior, and technological/AI innovation levers for food waste reduction</t>
  </si>
  <si>
    <t xml:space="preserve">Highlights hospital-sector digital monitoring and AI-based traceability as effective when paired with policy/education</t>
  </si>
  <si>
    <t xml:space="preserve">Bridging technology and sustainability: a systematic review of AI applications in global food systems</t>
  </si>
  <si>
    <t xml:space="preserve">Frontiers in Sustainable Food Systems</t>
  </si>
  <si>
    <t xml:space="preserve">10.3389/fsufs.2026.1785515</t>
  </si>
  <si>
    <t xml:space="preserve">https://www.frontiersin.org/journals/sustainable-food-systems/articles/10.3389/fsufs.2026.1785515/full</t>
  </si>
  <si>
    <t xml:space="preserve">PRISMA-guided SLR (2018-2025) of AI/ML/CV/predictive-analytics applications across the food value chain</t>
  </si>
  <si>
    <t xml:space="preserve">N/A (review; 28 articles included)</t>
  </si>
  <si>
    <t xml:space="preserve">Databases searched: Scopus, Web of Science, PubMed, IEEE Xplore</t>
  </si>
  <si>
    <t xml:space="preserve">Deep Learning for Classifying Food Waste</t>
  </si>
  <si>
    <t xml:space="preserve">10.48550/arXiv.2002.03786</t>
  </si>
  <si>
    <t xml:space="preserve">https://arxiv.org/pdf/2002.03786</t>
  </si>
  <si>
    <t xml:space="preserve">Classify food-waste type/composition from images captured by bin-mounted cameras</t>
  </si>
  <si>
    <t xml:space="preserve">~500,000 images from bin-mounted cameras</t>
  </si>
  <si>
    <t xml:space="preserve">Not stated (cites a Swedish behavior study)</t>
  </si>
  <si>
    <t xml:space="preserve">Cites a case where showing consumers waste-weight data cut food waste by 33%</t>
  </si>
  <si>
    <t xml:space="preserve">An extension of the theory of planned behavior with machine learning to predict household food waste in India</t>
  </si>
  <si>
    <t xml:space="preserve">Journal of Food Technology Research</t>
  </si>
  <si>
    <t xml:space="preserve">https://archive.conscientiabeam.com/index.php/58/article/view/4625</t>
  </si>
  <si>
    <t xml:space="preserve">Conscientia Beam</t>
  </si>
  <si>
    <t xml:space="preserve">Predict household food-wastage behavior via TPB-extended survey features + ML, with XAI for interpretability</t>
  </si>
  <si>
    <t xml:space="preserve">Cross-sectional survey, n=341, across India</t>
  </si>
  <si>
    <t xml:space="preserve">India</t>
  </si>
  <si>
    <t xml:space="preserve">NB, Logistic Regression, SVM, Random Forest compared; accuracy improved ~12% after adding behavioral attributes</t>
  </si>
  <si>
    <t xml:space="preserve">AI based management of Food Wastage (CEUR-WS version)</t>
  </si>
  <si>
    <t xml:space="preserve">CEUR Workshop Proceedings, Vol-2786, Paper 56</t>
  </si>
  <si>
    <t xml:space="preserve">https://ceur-ws.org/Vol-2786/Paper56.pdf</t>
  </si>
  <si>
    <t xml:space="preserve">CEUR-WS</t>
  </si>
  <si>
    <t xml:space="preserve">Sensor + data-mining/decision-tree based hostel mess food-waste management</t>
  </si>
  <si>
    <t xml:space="preserve">Arduino plate-count sensor data (hostel mess)</t>
  </si>
  <si>
    <t xml:space="preserve">Uses decision-tree data mining for pattern/rule discovery</t>
  </si>
  <si>
    <t xml:space="preserve">AI based management of Food Wastage (case-study version)</t>
  </si>
  <si>
    <t xml:space="preserve">Student project report (Academia.edu)</t>
  </si>
  <si>
    <t xml:space="preserve">https://www.academia.edu/108876520/AI_based_management_of_Food_Wastage</t>
  </si>
  <si>
    <t xml:space="preserve">Academia.edu (student report)</t>
  </si>
  <si>
    <t xml:space="preserve">Case study of student food-waste causes in a boys' hostel; unsupervised-ML framing</t>
  </si>
  <si>
    <t xml:space="preserve">Interviews/observations, BIT-Patna hostel mess (Sodexo-operated)</t>
  </si>
  <si>
    <t xml:space="preserve">Largely qualitative; ML discussion is general rather than a trained model on this dataset — low evidentiary weight</t>
  </si>
  <si>
    <t xml:space="preserve">A Sustainable Food Waste Management in an Institutional Hostel Environment Using IoT and Machine Learning [WITHDRAWN]</t>
  </si>
  <si>
    <t xml:space="preserve">ScienceDirect journal (withdrawn)</t>
  </si>
  <si>
    <t xml:space="preserve">Not available (withdrawn)</t>
  </si>
  <si>
    <t xml:space="preserve">https://www.sciencedirect.com/science/article/pii/S2210537921000408</t>
  </si>
  <si>
    <t xml:space="preserve">(Originally) IoT + ML hostel food-waste management</t>
  </si>
  <si>
    <t xml:space="preserve">N/A — article withdrawn</t>
  </si>
  <si>
    <t xml:space="preserve">FORMALLY WITHDRAWN at author/editor request — listed for completeness only; exclude from quantitative synthesis</t>
  </si>
  <si>
    <t xml:space="preserve">Harnessing Business Analytics to Reduce Food Waste in Hotel Kitchens</t>
  </si>
  <si>
    <t xml:space="preserve">Nidhi, S.; Shilpa, R.G.</t>
  </si>
  <si>
    <t xml:space="preserve">Springer, Lecture Notes in Networks and Systems, SmartCom 2026</t>
  </si>
  <si>
    <t xml:space="preserve">10.1007/978-3-032-27702-2_10</t>
  </si>
  <si>
    <t xml:space="preserve">https://link.springer.com/chapter/10.1007/978-3-032-27702-2_10</t>
  </si>
  <si>
    <t xml:space="preserve">Predictive/business-analytics model integrating operational data to reduce hotel-kitchen food waste</t>
  </si>
  <si>
    <t xml:space="preserve">Hotel kitchen operational data</t>
  </si>
  <si>
    <t xml:space="preserve">India (Bengaluru)</t>
  </si>
  <si>
    <t xml:space="preserve">Institutional/commercial-kitchen analogue closely related to the canteen setting</t>
  </si>
  <si>
    <t xml:space="preserve">Food Quantity Prediction Using Machine Learning Algorithms</t>
  </si>
  <si>
    <t xml:space="preserve">Adithyan S, Amrith Dinesh, Ashwin M, Dr. S. Ramasamy</t>
  </si>
  <si>
    <t xml:space="preserve">Student project report (Scribd-hosted)</t>
  </si>
  <si>
    <t xml:space="preserve">https://www.scribd.com/document/731949415/Food-Quantity-Prediction-using-Machine-Learning-Algorithms</t>
  </si>
  <si>
    <t xml:space="preserve">Self-published / Scribd</t>
  </si>
  <si>
    <t xml:space="preserve">Predict food quantity needed (guests, historical consumption) via regression + time series, for hostel messes</t>
  </si>
  <si>
    <t xml:space="preserve">Historical consumption records (size unspecified)</t>
  </si>
  <si>
    <t xml:space="preserve">India (Coimbatore)</t>
  </si>
  <si>
    <t xml:space="preserve">Undergraduate project paper — useful mainly for regional/India-specific framing</t>
  </si>
  <si>
    <t xml:space="preserve">A Bayesian Approach for Predicting Food and Beverage Sales in Staff Canteens and Restaurants</t>
  </si>
  <si>
    <t xml:space="preserve">Konstantin Posch, Christian Truden, Philipp Hungerländer, Jürgen Pilz</t>
  </si>
  <si>
    <t xml:space="preserve">International Journal of Forecasting (Elsevier) / arXiv:2005.12647</t>
  </si>
  <si>
    <t xml:space="preserve">Not directly confirmed — see URL</t>
  </si>
  <si>
    <t xml:space="preserve">https://arxiv.org/abs/2005.12647 ; https://www.sciencedirect.com/science/article/pii/S0169207021001011</t>
  </si>
  <si>
    <t xml:space="preserve">Elsevier / arXiv</t>
  </si>
  <si>
    <t xml:space="preserve">Forecast daily sold quantity per menu item using Bayesian Generalized Additive Models for staff canteens/restaurants</t>
  </si>
  <si>
    <t xml:space="preserve">POS data: 1 casual restaurant + 1 large staff canteen, 20 months each</t>
  </si>
  <si>
    <t xml:space="preserve">Not explicitly stated (Austria-affiliated authors)</t>
  </si>
  <si>
    <t xml:space="preserve">Negative-binomial GAM gave most robust point predictions; designed for interpretability and fast retraining</t>
  </si>
  <si>
    <t xml:space="preserve">Artificial Intelligence in Food Safety: A Decade Review and Bibliometric Analysis</t>
  </si>
  <si>
    <t xml:space="preserve">Foods (MDPI)</t>
  </si>
  <si>
    <t xml:space="preserve">10.3390/foods12061242</t>
  </si>
  <si>
    <t xml:space="preserve">https://doi.org/10.3390/foods12061242</t>
  </si>
  <si>
    <t xml:space="preserve">Bibliometric review (2012-2022, Web of Science) of AI in food safety, incl. waste-reduction angle</t>
  </si>
  <si>
    <t xml:space="preserve">N/A (bibliometric, CiteSpace)</t>
  </si>
  <si>
    <t xml:space="preserve">CiteSpace science-mapping methodology is a useful template for this project's own trend analysis</t>
  </si>
  <si>
    <t xml:space="preserve">A digital circular food system: A systematic review and novel conceptual framework</t>
  </si>
  <si>
    <t xml:space="preserve">https://www.sciencedirect.com/science/article/pii/S2666789426001157</t>
  </si>
  <si>
    <t xml:space="preserve">SLR + conceptual framework integrating IoT, AI, and blockchain for circular food-waste management</t>
  </si>
  <si>
    <t xml:space="preserve">Claims to be the first review combining all three technologies with carbon-balance accounting</t>
  </si>
  <si>
    <t xml:space="preserve">Machine Learning and Artificial Intelligence in Circular Economy: A Bibliometric Analysis and Systematic Literature Review</t>
  </si>
  <si>
    <t xml:space="preserve">10.48550/arXiv.2205.01042</t>
  </si>
  <si>
    <t xml:space="preserve">https://arxiv.org/pdf/2205.01042</t>
  </si>
  <si>
    <t xml:space="preserve">Bibliometric SLR of ML/AI applications across circular-economy domains, incl. food-waste/supply-chain forecasting</t>
  </si>
  <si>
    <t xml:space="preserve">N/A (bibliometric review)</t>
  </si>
  <si>
    <t xml:space="preserve">Flags food/electronics-waste AI research as under-studied relative to municipal solid waste</t>
  </si>
  <si>
    <t xml:space="preserve">Sales forecasting for retail stores using hybrid neural networks and sales-affecting variables</t>
  </si>
  <si>
    <t xml:space="preserve">PMC-hosted journal (e.g., PeerJ Computer Science)</t>
  </si>
  <si>
    <t xml:space="preserve">https://www.ncbi.nlm.nih.gov/pmc/articles/PMC12453866/</t>
  </si>
  <si>
    <t xml:space="preserve">Hybrid CNN-LSTM retail sales forecasting incorporating holidays, salary days, weather, protests</t>
  </si>
  <si>
    <t xml:space="preserve">Real-world retail sales + weather + demographic data (Kaggle-sourced)</t>
  </si>
  <si>
    <t xml:space="preserve">MAPE 4.16%, outperforming standalone ANN/CNN/LSTM; feature set transfers well to canteen demand modeling</t>
  </si>
  <si>
    <t xml:space="preserve">Demand Forecasting Models for Food Industry by Utilizing Machine Learning Approaches</t>
  </si>
  <si>
    <t xml:space="preserve">International Journal of Advanced Computer Science and Applications (IJACSA), Vol 14 No 3</t>
  </si>
  <si>
    <t xml:space="preserve">https://thesai.org/Downloads/Volume14No3/Paper_101-Demand_Forecasting_Models_for_Food_Industry_by_Utilizing_Machine_Learning.pdf</t>
  </si>
  <si>
    <t xml:space="preserve">The Science and Information (SAI) Organization</t>
  </si>
  <si>
    <t xml:space="preserve">Compare multi-layer neural network vs LSTM for daily consumer demand forecasting in food retail</t>
  </si>
  <si>
    <t xml:space="preserve">Moroccan supermarket data, 6-month period</t>
  </si>
  <si>
    <t xml:space="preserve">Morocco</t>
  </si>
  <si>
    <t xml:space="preserve">Multi-layer NN found best overall framework; both NN types performed strongly on quarterly forecasts</t>
  </si>
  <si>
    <t xml:space="preserve">Deep Generative Demand Learning for Newsvendor and Pricing</t>
  </si>
  <si>
    <t xml:space="preserve">10.48550/arXiv.2411.08631</t>
  </si>
  <si>
    <t xml:space="preserve">https://arxiv.org/pdf/2411.08631</t>
  </si>
  <si>
    <t xml:space="preserve">Generative demand-learning method benchmarked on the Genpact/Kaggle Food Demand Forecasting dataset</t>
  </si>
  <si>
    <t xml:space="preserve">Kaggle 'Food Demand Forecasting' (Genpact) dataset: 450,730 records, 51 meals, 77 centers, 145 weeks</t>
  </si>
  <si>
    <t xml:space="preserve">cDGM method reports highest profits across most meal/center configurations vs. ERM-NN, RBE, SAA, KO baselines</t>
  </si>
  <si>
    <t xml:space="preserve">Table 2 — Algorithms Used (extracted per paper, grouped by category). Rows without a precise reported metric are marked 'Not stated precisely' rather than estimated.</t>
  </si>
  <si>
    <t xml:space="preserve">Paper</t>
  </si>
  <si>
    <t xml:space="preserve">Category</t>
  </si>
  <si>
    <t xml:space="preserve">Algorithm</t>
  </si>
  <si>
    <t xml:space="preserve">Why It Was Selected</t>
  </si>
  <si>
    <t xml:space="preserve">Target Variable</t>
  </si>
  <si>
    <t xml:space="preserve">Input Features</t>
  </si>
  <si>
    <t xml:space="preserve">Performance Metrics</t>
  </si>
  <si>
    <t xml:space="preserve">Reported Accuracy</t>
  </si>
  <si>
    <t xml:space="preserve">Advantages</t>
  </si>
  <si>
    <t xml:space="preserve">Limitations</t>
  </si>
  <si>
    <t xml:space="preserve">Food Demand Forecasting w/ Decision Tree (Company Canteen)</t>
  </si>
  <si>
    <t xml:space="preserve">Classical ML</t>
  </si>
  <si>
    <t xml:space="preserve">Decision Tree</t>
  </si>
  <si>
    <t xml:space="preserve">Simple, interpretable, handles categorical+continuous targets</t>
  </si>
  <si>
    <t xml:space="preserve">Daily food demand (units)</t>
  </si>
  <si>
    <t xml:space="preserve">Day of week, menu item, order history</t>
  </si>
  <si>
    <t xml:space="preserve">Not stated (comparative RF/LSTM waste reduction reported instead)</t>
  </si>
  <si>
    <t xml:space="preserve">RF &amp; LSTM cited as reducing waste 14-52%</t>
  </si>
  <si>
    <t xml:space="preserve">Interpretable, low compute cost, fast to retrain</t>
  </si>
  <si>
    <t xml:space="preserve">Prone to overfitting on 31-day dataset; small sample size</t>
  </si>
  <si>
    <t xml:space="preserve">Time Series Forecasting of Food Demand Supply Chain (IEEE, Genpact dataset)</t>
  </si>
  <si>
    <t xml:space="preserve">Ensemble Learning</t>
  </si>
  <si>
    <t xml:space="preserve">Random Forest Regressor</t>
  </si>
  <si>
    <t xml:space="preserve">Baseline ensemble benchmark for tabular demand data</t>
  </si>
  <si>
    <t xml:space="preserve">Number of food orders</t>
  </si>
  <si>
    <t xml:space="preserve">Center ID, meal ID, price, promotion flags, week</t>
  </si>
  <si>
    <t xml:space="preserve">RMSLE, RMSE, MAPE, MAE</t>
  </si>
  <si>
    <t xml:space="preserve">RMSLE 0.28 (best model was LSTM, RF was one of 7 compared)</t>
  </si>
  <si>
    <t xml:space="preserve">Handles nonlinearity, robust to outliers</t>
  </si>
  <si>
    <t xml:space="preserve">Weaker on long-horizon sequential dependencies than LSTM</t>
  </si>
  <si>
    <t xml:space="preserve">Gradient Boosting Regressor (GBR)</t>
  </si>
  <si>
    <t xml:space="preserve">Comparative benchmark</t>
  </si>
  <si>
    <t xml:space="preserve">Not top performer (LSTM best)</t>
  </si>
  <si>
    <t xml:space="preserve">Good accuracy on structured/tabular data</t>
  </si>
  <si>
    <t xml:space="preserve">Slower to train than RF; sensitive to hyperparameters</t>
  </si>
  <si>
    <t xml:space="preserve">LightGBM</t>
  </si>
  <si>
    <t xml:space="preserve">Comparative benchmark, speed on large tabular data</t>
  </si>
  <si>
    <t xml:space="preserve">Fast training, low memory, good with categorical features</t>
  </si>
  <si>
    <t xml:space="preserve">Can overfit on small/sparse datasets</t>
  </si>
  <si>
    <t xml:space="preserve">XGBoost</t>
  </si>
  <si>
    <t xml:space="preserve">Comparative benchmark, strong general-purpose regressor</t>
  </si>
  <si>
    <t xml:space="preserve">High accuracy, regularization reduces overfitting</t>
  </si>
  <si>
    <t xml:space="preserve">Many hyperparameters to tune; less interpretable</t>
  </si>
  <si>
    <t xml:space="preserve">CatBoost</t>
  </si>
  <si>
    <t xml:space="preserve">Comparative benchmark, native categorical handling</t>
  </si>
  <si>
    <t xml:space="preserve">Handles categorical features natively, resistant to overfitting</t>
  </si>
  <si>
    <t xml:space="preserve">Slower training on very large datasets</t>
  </si>
  <si>
    <t xml:space="preserve">Deep Learning</t>
  </si>
  <si>
    <t xml:space="preserve">LSTM</t>
  </si>
  <si>
    <t xml:space="preserve">Captures temporal/sequential dependencies in weekly order data</t>
  </si>
  <si>
    <t xml:space="preserve">Historical demand sequence, price, promotion flags</t>
  </si>
  <si>
    <t xml:space="preserve">Best: RMSLE 0.28, RMSE 18.83 (top model)</t>
  </si>
  <si>
    <t xml:space="preserve">Learns long-range temporal patterns automatically</t>
  </si>
  <si>
    <t xml:space="preserve">Needs more data and compute; harder to interpret</t>
  </si>
  <si>
    <t xml:space="preserve">Bidirectional LSTM (BiLSTM)</t>
  </si>
  <si>
    <t xml:space="preserve">Captures forward+backward temporal context</t>
  </si>
  <si>
    <t xml:space="preserve">Comparable to LSTM, not top performer</t>
  </si>
  <si>
    <t xml:space="preserve">Richer context than unidirectional LSTM</t>
  </si>
  <si>
    <t xml:space="preserve">Higher training cost; risk of overfitting on small series</t>
  </si>
  <si>
    <t xml:space="preserve">An Empirical Study on Food-Retail Demand Forecasting</t>
  </si>
  <si>
    <t xml:space="preserve">Time Series Forecasting</t>
  </si>
  <si>
    <t xml:space="preserve">SARIMA</t>
  </si>
  <si>
    <t xml:space="preserve">Classical seasonal time-series baseline</t>
  </si>
  <si>
    <t xml:space="preserve">Daily menu-item sales (café POS)</t>
  </si>
  <si>
    <t xml:space="preserve">Historical sales, seasonality, holidays</t>
  </si>
  <si>
    <t xml:space="preserve">RMSE</t>
  </si>
  <si>
    <t xml:space="preserve">Best only for one small-sample menu item</t>
  </si>
  <si>
    <t xml:space="preserve">Well-understood, works on small samples</t>
  </si>
  <si>
    <t xml:space="preserve">Struggles with event-driven demand shocks</t>
  </si>
  <si>
    <t xml:space="preserve">Prophet</t>
  </si>
  <si>
    <t xml:space="preserve">Handles multiple seasonality + holiday effects</t>
  </si>
  <si>
    <t xml:space="preserve">Historical sales, holiday/event flags</t>
  </si>
  <si>
    <t xml:space="preserve">Best for event-driven menu (remarkable gains over SARIMA)</t>
  </si>
  <si>
    <t xml:space="preserve">Interpretable trend/seasonality/holiday decomposition</t>
  </si>
  <si>
    <t xml:space="preserve">Less accurate than LSTM on average across menus</t>
  </si>
  <si>
    <t xml:space="preserve">Captures nonlinear temporal patterns in POS sales</t>
  </si>
  <si>
    <t xml:space="preserve">Historical sales sequence, event-driven changes</t>
  </si>
  <si>
    <t xml:space="preserve">Consistently outperforms SARIMA and Prophet (except 1 case each)</t>
  </si>
  <si>
    <t xml:space="preserve">Best average performer across menus</t>
  </si>
  <si>
    <t xml:space="preserve">Requires more data; slight underperformance vs SARIMA on small sample</t>
  </si>
  <si>
    <t xml:space="preserve">Demand Forecasting Models for Food Industry (IJACSA, Morocco)</t>
  </si>
  <si>
    <t xml:space="preserve">Multi-layer Neural Network</t>
  </si>
  <si>
    <t xml:space="preserve">Best neural-network framework found for this retail demand data</t>
  </si>
  <si>
    <t xml:space="preserve">Daily consumer demand (supermarket)</t>
  </si>
  <si>
    <t xml:space="preserve">Historical sales, quarterly seasonality</t>
  </si>
  <si>
    <t xml:space="preserve">Not fully stated (quarterly evaluation)</t>
  </si>
  <si>
    <t xml:space="preserve">Found to be best NN framework overall</t>
  </si>
  <si>
    <t xml:space="preserve">Strong general-purpose forecasting accuracy</t>
  </si>
  <si>
    <t xml:space="preserve">Requires careful architecture tuning</t>
  </si>
  <si>
    <t xml:space="preserve">Compared against multi-layer NN for demand forecasting</t>
  </si>
  <si>
    <t xml:space="preserve">Strong results, close to multi-layer NN</t>
  </si>
  <si>
    <t xml:space="preserve">Captures sequential/temporal dependencies</t>
  </si>
  <si>
    <t xml:space="preserve">Slightly outperformed by multi-layer NN in this study</t>
  </si>
  <si>
    <t xml:space="preserve">Preventing food waste in subsidy-based university dining systems</t>
  </si>
  <si>
    <t xml:space="preserve">Artificial Neural Network (ANN)</t>
  </si>
  <si>
    <t xml:space="preserve">Models uncertainty in student meal-booking/attendance behavior</t>
  </si>
  <si>
    <t xml:space="preserve">Food waste volume from dining system</t>
  </si>
  <si>
    <t xml:space="preserve">Meal-booking records, subsidy/attendance behavior</t>
  </si>
  <si>
    <t xml:space="preserve">Not stated in snippet</t>
  </si>
  <si>
    <t xml:space="preserve">Handles nonlinear, uncertain booking behavior</t>
  </si>
  <si>
    <t xml:space="preserve">Requires substantial booking-history data; limited interpretability</t>
  </si>
  <si>
    <t xml:space="preserve">Statistical Models</t>
  </si>
  <si>
    <t xml:space="preserve">Bayesian Generalized Additive Model (Poisson)</t>
  </si>
  <si>
    <t xml:space="preserve">Count-data-appropriate distribution for daily sold quantities</t>
  </si>
  <si>
    <t xml:space="preserve">Daily sold quantity per menu item</t>
  </si>
  <si>
    <t xml:space="preserve">Trend spline, seasonality, holiday effects</t>
  </si>
  <si>
    <t xml:space="preserve">Prediction interval coverage, point-prediction error</t>
  </si>
  <si>
    <t xml:space="preserve">Negative-binomial variant outperformed Poisson variant</t>
  </si>
  <si>
    <t xml:space="preserve">Interpretable spline-based trend/seasonality decomposition</t>
  </si>
  <si>
    <t xml:space="preserve">Poisson assumption often too restrictive for small counts</t>
  </si>
  <si>
    <t xml:space="preserve">Bayesian Generalized Additive Model (Negative Binomial)</t>
  </si>
  <si>
    <t xml:space="preserve">Better handles overdispersion in small daily-count menu-item sales</t>
  </si>
  <si>
    <t xml:space="preserve">Most robust point predictions overall (best model in study)</t>
  </si>
  <si>
    <t xml:space="preserve">Interpretable, fast MAP-based retraining, handles overdispersion</t>
  </si>
  <si>
    <t xml:space="preserve">More complex to implement than plain regression</t>
  </si>
  <si>
    <t xml:space="preserve">An Ensemble ML Model to Predict the Wastage of Food (Hostel Mess, Bangladesh)</t>
  </si>
  <si>
    <t xml:space="preserve">Random Forest</t>
  </si>
  <si>
    <t xml:space="preserve">Base learner for ensemble combination</t>
  </si>
  <si>
    <t xml:space="preserve">Food waste category/quantity (hostel mess)</t>
  </si>
  <si>
    <t xml:space="preserve">18 engineered features from mess records</t>
  </si>
  <si>
    <t xml:space="preserve">F1-score, accuracy</t>
  </si>
  <si>
    <t xml:space="preserve">~75.41% accuracy (with Decision Tree) in related work; ensemble combo reached F1 86.88%</t>
  </si>
  <si>
    <t xml:space="preserve">Robust to noisy mess-record data, handles many features</t>
  </si>
  <si>
    <t xml:space="preserve">Can be outperformed by boosting on structured data</t>
  </si>
  <si>
    <t xml:space="preserve">Gradient Boosting Machine (GBM)</t>
  </si>
  <si>
    <t xml:space="preserve">One of three base learners explored for best ensemble combination</t>
  </si>
  <si>
    <t xml:space="preserve">Contributed to ~80-82% F1 in most combinations</t>
  </si>
  <si>
    <t xml:space="preserve">Strong predictive power on structured tabular data</t>
  </si>
  <si>
    <t xml:space="preserve">Slower to train; sensitive to overfitting without tuning</t>
  </si>
  <si>
    <t xml:space="preserve">AdaBoost</t>
  </si>
  <si>
    <t xml:space="preserve">Best-performing pairing (with RF) found via exhaustive combination search</t>
  </si>
  <si>
    <t xml:space="preserve">Best ensemble (RF+AdaBoost): F1 = 86.88%</t>
  </si>
  <si>
    <t xml:space="preserve">Boosts weak learners effectively on structured data</t>
  </si>
  <si>
    <t xml:space="preserve">Sensitive to noisy/mislabeled records</t>
  </si>
  <si>
    <t xml:space="preserve">Household food waste prediction with ML (India, TPB extension)</t>
  </si>
  <si>
    <t xml:space="preserve">Naive Bayes</t>
  </si>
  <si>
    <t xml:space="preserve">Baseline probabilistic classifier for survey-based behavior prediction</t>
  </si>
  <si>
    <t xml:space="preserve">Household food-wastage behavior/level</t>
  </si>
  <si>
    <t xml:space="preserve">TPB constructs + self-responsibility, eco-consciousness, food-management attributes</t>
  </si>
  <si>
    <t xml:space="preserve">Prediction accuracy</t>
  </si>
  <si>
    <t xml:space="preserve">Improved ~12% after adding behavioral attributes (all classifiers)</t>
  </si>
  <si>
    <t xml:space="preserve">Simple, fast, works well with limited survey data</t>
  </si>
  <si>
    <t xml:space="preserve">Assumes feature independence, often violated in behavior data</t>
  </si>
  <si>
    <t xml:space="preserve">Logistic Regression</t>
  </si>
  <si>
    <t xml:space="preserve">Baseline interpretable classifier</t>
  </si>
  <si>
    <t xml:space="preserve">TPB constructs + behavioral attributes</t>
  </si>
  <si>
    <t xml:space="preserve">Improved ~12% after adding behavioral attributes</t>
  </si>
  <si>
    <t xml:space="preserve">Highly interpretable coefficients</t>
  </si>
  <si>
    <t xml:space="preserve">Limited to roughly linear decision boundaries</t>
  </si>
  <si>
    <t xml:space="preserve">Support Vector Machine (SVM)</t>
  </si>
  <si>
    <t xml:space="preserve">Robust classifier for moderate-dimensional survey data</t>
  </si>
  <si>
    <t xml:space="preserve">Effective in high-dimensional feature space</t>
  </si>
  <si>
    <t xml:space="preserve">Kernel/parameter tuning needed; less interpretable</t>
  </si>
  <si>
    <t xml:space="preserve">Ensemble classifier + basis for XAI feature-importance analysis</t>
  </si>
  <si>
    <t xml:space="preserve">Prediction accuracy, XAI feature importance</t>
  </si>
  <si>
    <t xml:space="preserve">Supports explainable AI feature-importance ranking</t>
  </si>
  <si>
    <t xml:space="preserve">More compute-intensive than single-tree/linear models</t>
  </si>
  <si>
    <t xml:space="preserve">Food Recognition and Food Waste Estimation (Electronics, MDPI)</t>
  </si>
  <si>
    <t xml:space="preserve">Convolutional Neural Network (CNN)</t>
  </si>
  <si>
    <t xml:space="preserve">State-of-the-art image classification for plate-food recognition</t>
  </si>
  <si>
    <t xml:space="preserve">% food waste (before/after plate image comparison)</t>
  </si>
  <si>
    <t xml:space="preserve">Plate images before and after meal</t>
  </si>
  <si>
    <t xml:space="preserve">Not fully quantified in snippet (classification accuracy)</t>
  </si>
  <si>
    <t xml:space="preserve">Not stated precisely</t>
  </si>
  <si>
    <t xml:space="preserve">Automatically extracts image features, strong for visual tasks</t>
  </si>
  <si>
    <t xml:space="preserve">Needs large labeled image datasets; risk of overfitting with limited data (1,354 images)</t>
  </si>
  <si>
    <t xml:space="preserve">Deep Learning / Computer Vision</t>
  </si>
  <si>
    <t xml:space="preserve">YOLOv11 (object detection)</t>
  </si>
  <si>
    <t xml:space="preserve">Real-time object detection well suited to plate-waste percentage classification</t>
  </si>
  <si>
    <t xml:space="preserve">% food waste on canteen plate</t>
  </si>
  <si>
    <t xml:space="preserve">Plate images (before/after), augmented dataset</t>
  </si>
  <si>
    <t xml:space="preserve">Not fully quantified in snippet</t>
  </si>
  <si>
    <t xml:space="preserve">Fast inference, good for real-time canteen deployment</t>
  </si>
  <si>
    <t xml:space="preserve">Requires substantial annotated image data; sensitive to lighting/occlusion</t>
  </si>
  <si>
    <t xml:space="preserve">Strategies for Automated Identification of Food Waste in University Cafeterias (China)</t>
  </si>
  <si>
    <t xml:space="preserve">U-Net / PSPNet / DeepLabV3+ (semantic segmentation, compared)</t>
  </si>
  <si>
    <t xml:space="preserve">Segment plate/tray regions for clean-plate recognition</t>
  </si>
  <si>
    <t xml:space="preserve">Clean-plate vs. leftover classification</t>
  </si>
  <si>
    <t xml:space="preserve">Multi-directional plate + face images</t>
  </si>
  <si>
    <t xml:space="preserve">Segmentation accuracy/robustness (qualitative)</t>
  </si>
  <si>
    <t xml:space="preserve">Machine vision found suitable for rapid identification</t>
  </si>
  <si>
    <t xml:space="preserve">Precise pixel-level plate/tray localization</t>
  </si>
  <si>
    <t xml:space="preserve">Computationally heavier than simple classification CNNs</t>
  </si>
  <si>
    <t xml:space="preserve">YOLOv4-style object detector</t>
  </si>
  <si>
    <t xml:space="preserve">Real-time 'Clear Plate' detection prototype for school dining rooms</t>
  </si>
  <si>
    <t xml:space="preserve">Clear-plate vs. leftover classification</t>
  </si>
  <si>
    <t xml:space="preserve">Clear-plate sample images</t>
  </si>
  <si>
    <t xml:space="preserve">Real-time capable, established/mature detector family</t>
  </si>
  <si>
    <t xml:space="preserve">Superseded in accuracy/speed by newer YOLO versions (e.g., YOLOv11)</t>
  </si>
  <si>
    <t xml:space="preserve">Hybrid Models</t>
  </si>
  <si>
    <t xml:space="preserve">Visual Large Language Model (VLLM) + Dual-Level Visual Knowledge (DLVK)</t>
  </si>
  <si>
    <t xml:space="preserve">Improve limited visual reasoning of pretrained VLLMs by injecting CV-model knowledge</t>
  </si>
  <si>
    <t xml:space="preserve">% food waste / plate-waste description</t>
  </si>
  <si>
    <t xml:space="preserve">Canteen plate images</t>
  </si>
  <si>
    <t xml:space="preserve">Combines language-model reasoning with pretrained CV features</t>
  </si>
  <si>
    <t xml:space="preserve">Computationally expensive; VLLM vision encoders have known limited visual-reasoning capability</t>
  </si>
  <si>
    <t xml:space="preserve">Hybrid CNN-LSTM retail sales forecasting (PMC)</t>
  </si>
  <si>
    <t xml:space="preserve">CNN-LSTM hybrid</t>
  </si>
  <si>
    <t xml:space="preserve">Capture spatial (CNN) and temporal (LSTM) patterns jointly using weather/holiday/demographic variables</t>
  </si>
  <si>
    <t xml:space="preserve">Retail sales volume</t>
  </si>
  <si>
    <t xml:space="preserve">Holidays, salary days, protests, rainfall, temperature</t>
  </si>
  <si>
    <t xml:space="preserve">MAPE</t>
  </si>
  <si>
    <t xml:space="preserve">MAPE 4.16% (outperforms standalone ANN/CNN/LSTM)</t>
  </si>
  <si>
    <t xml:space="preserve">Combines spatial + temporal pattern learning; strong with exogenous variables</t>
  </si>
  <si>
    <t xml:space="preserve">More complex architecture; longer training time than single-model baselines</t>
  </si>
  <si>
    <t xml:space="preserve">Deep Generative Demand Learning for Newsvendor and Pricing (Genpact/Kaggle dataset)</t>
  </si>
  <si>
    <t xml:space="preserve">Optimization Algorithms</t>
  </si>
  <si>
    <t xml:space="preserve">Conditional Deep Generative Model (cDGM)</t>
  </si>
  <si>
    <t xml:space="preserve">Model full demand distribution (not just point forecast) for newsvendor ordering/pricing decisions</t>
  </si>
  <si>
    <t xml:space="preserve">Number of orders / profit-optimal order quantity</t>
  </si>
  <si>
    <t xml:space="preserve">Meal ID, center ID, week, checkout price, lagged demand</t>
  </si>
  <si>
    <t xml:space="preserve">Profit vs. baseline methods (ERM-NN, RBE, SAA, KO)</t>
  </si>
  <si>
    <t xml:space="preserve">Highest profits across most meal/center configurations</t>
  </si>
  <si>
    <t xml:space="preserve">Captures full demand uncertainty distribution, useful for inventory/ordering decisions</t>
  </si>
  <si>
    <t xml:space="preserve">Complex to train; requires large dataset (450,730 records used)</t>
  </si>
  <si>
    <t xml:space="preserve">A Data-Driven Predictive Approach to Waste Management (Panama cafeteria)</t>
  </si>
  <si>
    <t xml:space="preserve">Simple Linear Regression (least squares)</t>
  </si>
  <si>
    <t xml:space="preserve">Model relationship between cafeteria user count and solid-waste quantity</t>
  </si>
  <si>
    <t xml:space="preserve">Solid waste generated (kg)</t>
  </si>
  <si>
    <t xml:space="preserve">Number of cafeteria users per shift</t>
  </si>
  <si>
    <t xml:space="preserve">Simple, transparent, minimal data/compute requirements</t>
  </si>
  <si>
    <t xml:space="preserve">Cannot capture nonlinear or multi-factor waste drivers</t>
  </si>
  <si>
    <t xml:space="preserve">Table 3 — Algorithm Frequency Analysis. Column B is a COUNTIF formula counting exact-name matches in the Algorithms sheet (Table 2); near-synonyms (e.g. 'BiLSTM' vs 'LSTM / BiLSTM') are grouped manually, so treat B as an approximate, human-curated frequency, not a strict automated tally.</t>
  </si>
  <si>
    <t xml:space="preserve">Number of Papers Using It</t>
  </si>
  <si>
    <t xml:space="preserve">Typical Accuracy / Error (as reported)</t>
  </si>
  <si>
    <t xml:space="preserve">Common Use Cases</t>
  </si>
  <si>
    <t xml:space="preserve">Pros</t>
  </si>
  <si>
    <t xml:space="preserve">Cons</t>
  </si>
  <si>
    <t xml:space="preserve">Trend (Increasing/Stable/Decreasing)</t>
  </si>
  <si>
    <t xml:space="preserve">Not stated precisely (waste-reduction figures reported instead)</t>
  </si>
  <si>
    <t xml:space="preserve">Demand forecasting, hostel-mess waste classification</t>
  </si>
  <si>
    <t xml:space="preserve">Highly interpretable, fast, low data requirement</t>
  </si>
  <si>
    <t xml:space="preserve">Prone to overfitting on small samples</t>
  </si>
  <si>
    <t xml:space="preserve">Stable</t>
  </si>
  <si>
    <t xml:space="preserve">~75-82% accuracy/F1 range (hostel mess study)</t>
  </si>
  <si>
    <t xml:space="preserve">Demand forecasting, waste prediction, feature importance/XAI</t>
  </si>
  <si>
    <t xml:space="preserve">Robust to noise, handles many features, supports XAI</t>
  </si>
  <si>
    <t xml:space="preserve">Less accurate than boosting on some structured tasks</t>
  </si>
  <si>
    <t xml:space="preserve">Increasing</t>
  </si>
  <si>
    <t xml:space="preserve">Gradient Boosting Regressor / GBM</t>
  </si>
  <si>
    <t xml:space="preserve">Contributed to ~80-82% F1 in ensemble combinations</t>
  </si>
  <si>
    <t xml:space="preserve">Demand forecasting, waste-quantity ensembles</t>
  </si>
  <si>
    <t xml:space="preserve">Strong accuracy on tabular data</t>
  </si>
  <si>
    <t xml:space="preserve">Slower training, sensitive to tuning</t>
  </si>
  <si>
    <t xml:space="preserve">Not top performer vs LSTM in direct comparison (Genpact dataset)</t>
  </si>
  <si>
    <t xml:space="preserve">Demand forecasting, restaurant/cafeteria waste prediction apps</t>
  </si>
  <si>
    <t xml:space="preserve">High accuracy, built-in regularization</t>
  </si>
  <si>
    <t xml:space="preserve">Many hyperparameters, less interpretable</t>
  </si>
  <si>
    <t xml:space="preserve">LightGBM / CatBoost</t>
  </si>
  <si>
    <t xml:space="preserve">Large-scale tabular demand forecasting</t>
  </si>
  <si>
    <t xml:space="preserve">Fast training, native categorical handling</t>
  </si>
  <si>
    <t xml:space="preserve">Can overfit on small/sparse data</t>
  </si>
  <si>
    <t xml:space="preserve">Best ensemble pairing with RF: F1=86.88%</t>
  </si>
  <si>
    <t xml:space="preserve">Hostel-mess food-waste ensemble prediction</t>
  </si>
  <si>
    <t xml:space="preserve">Boosts weak learners effectively</t>
  </si>
  <si>
    <t xml:space="preserve">Sensitive to noisy/mislabeled data</t>
  </si>
  <si>
    <t xml:space="preserve">LSTM / BiLSTM</t>
  </si>
  <si>
    <t xml:space="preserve">Best in 2 of 3 direct comparisons found (RMSLE 0.28; outperforms SARIMA/Prophet)</t>
  </si>
  <si>
    <t xml:space="preserve">POS/menu-item demand forecasting, supply-chain demand</t>
  </si>
  <si>
    <t xml:space="preserve">Captures long-range temporal dependencies</t>
  </si>
  <si>
    <t xml:space="preserve">Needs more data/compute, less interpretable</t>
  </si>
  <si>
    <t xml:space="preserve">Artificial Neural Network (ANN) / Multi-layer NN</t>
  </si>
  <si>
    <t xml:space="preserve">Best NN framework in one comparative study (Morocco)</t>
  </si>
  <si>
    <t xml:space="preserve">University dining demand under booking uncertainty, retail demand</t>
  </si>
  <si>
    <t xml:space="preserve">Handles nonlinear/uncertain patterns</t>
  </si>
  <si>
    <t xml:space="preserve">Limited interpretability, needs tuning</t>
  </si>
  <si>
    <t xml:space="preserve">Not fully quantified in available snippets</t>
  </si>
  <si>
    <t xml:space="preserve">Plate-image food recognition, waste-image classification/segmentation</t>
  </si>
  <si>
    <t xml:space="preserve">Automatic visual feature extraction</t>
  </si>
  <si>
    <t xml:space="preserve">Needs large labeled image datasets</t>
  </si>
  <si>
    <t xml:space="preserve">YOLO family (v4/v11) object detectors</t>
  </si>
  <si>
    <t xml:space="preserve">Real-time canteen/school plate-waste detection</t>
  </si>
  <si>
    <t xml:space="preserve">Fast, real-time-capable detection</t>
  </si>
  <si>
    <t xml:space="preserve">Needs annotated data, sensitive to lighting/occlusion</t>
  </si>
  <si>
    <t xml:space="preserve">Semantic segmentation (U-Net/PSPNet/DeepLabV3+)</t>
  </si>
  <si>
    <t xml:space="preserve">Qualitatively 'suitable for rapid identification' (China study)</t>
  </si>
  <si>
    <t xml:space="preserve">Clean-plate / leftover pixel-level segmentation</t>
  </si>
  <si>
    <t xml:space="preserve">Precise pixel-level localization</t>
  </si>
  <si>
    <t xml:space="preserve">Computationally heavier than classification CNNs</t>
  </si>
  <si>
    <t xml:space="preserve">Visual Large Language Models (VLLM) + DLVK</t>
  </si>
  <si>
    <t xml:space="preserve">Canteen plate-waste detection with language-model reasoning</t>
  </si>
  <si>
    <t xml:space="preserve">Combines reasoning + pretrained CV knowledge</t>
  </si>
  <si>
    <t xml:space="preserve">Computationally expensive, limited native visual reasoning</t>
  </si>
  <si>
    <t xml:space="preserve">Increasing (emerging)</t>
  </si>
  <si>
    <t xml:space="preserve">Bayesian GAM (Poisson / Negative Binomial)</t>
  </si>
  <si>
    <t xml:space="preserve">Negative-binomial variant most robust point predictor (Posch et al.)</t>
  </si>
  <si>
    <t xml:space="preserve">Menu-item-level daily sales forecasting for canteens/restaurants</t>
  </si>
  <si>
    <t xml:space="preserve">More complex than plain regression to implement</t>
  </si>
  <si>
    <t xml:space="preserve">SARIMA / Prophet (classical time series)</t>
  </si>
  <si>
    <t xml:space="preserve">SARIMA best only for 1 small-sample menu; Prophet best for event-driven menu</t>
  </si>
  <si>
    <t xml:space="preserve">Café/restaurant sales forecasting baselines</t>
  </si>
  <si>
    <t xml:space="preserve">Well-understood, works on small samples, holiday/seasonality decomposition (Prophet)</t>
  </si>
  <si>
    <t xml:space="preserve">Struggles with event-driven shocks / nonlinearity</t>
  </si>
  <si>
    <t xml:space="preserve">Simple Linear Regression</t>
  </si>
  <si>
    <t xml:space="preserve">Cafeteria-user-count vs. waste-quantity modeling</t>
  </si>
  <si>
    <t xml:space="preserve">Simple, transparent, minimal data/compute</t>
  </si>
  <si>
    <t xml:space="preserve">Cannot capture nonlinear/multi-factor drivers</t>
  </si>
  <si>
    <t xml:space="preserve">Decreasing (for complex settings)</t>
  </si>
  <si>
    <t xml:space="preserve">CNN-LSTM Hybrid</t>
  </si>
  <si>
    <t xml:space="preserve">MAPE 4.16% (retail; food-adjacent, weather/holiday features)</t>
  </si>
  <si>
    <t xml:space="preserve">Retail/food sales forecasting with exogenous variables (weather, holidays)</t>
  </si>
  <si>
    <t xml:space="preserve">Joint spatial+temporal pattern learning, strong with exogenous data</t>
  </si>
  <si>
    <t xml:space="preserve">Complex architecture, longer training time</t>
  </si>
  <si>
    <t xml:space="preserve">Highest profit across most configurations vs. baselines</t>
  </si>
  <si>
    <t xml:space="preserve">Newsvendor-style ordering/pricing under demand uncertainty (Genpact/Kaggle dataset)</t>
  </si>
  <si>
    <t xml:space="preserve">Models full demand distribution, not just point estimate</t>
  </si>
  <si>
    <t xml:space="preserve">Complex to train, needs large datasets</t>
  </si>
  <si>
    <t xml:space="preserve">Naive Bayes / Logistic Regression / SVM</t>
  </si>
  <si>
    <t xml:space="preserve">Accuracy improved ~12% after adding behavioral features (India TPB study)</t>
  </si>
  <si>
    <t xml:space="preserve">Household food-waste behavior prediction from survey data</t>
  </si>
  <si>
    <t xml:space="preserve">Simple, fast, interpretable (esp. Logistic Regression)</t>
  </si>
  <si>
    <t xml:space="preserve">Limited to simpler relationships; SVM less interpretable</t>
  </si>
  <si>
    <t xml:space="preserve">Table 4 — Dataset Analysis. Most institutional datasets in this literature are private/proprietary (mess or POS records); the Genpact/Kaggle dataset is the main public benchmark used repeatedly.</t>
  </si>
  <si>
    <t xml:space="preserve">Dataset</t>
  </si>
  <si>
    <t xml:space="preserve">Source</t>
  </si>
  <si>
    <t xml:space="preserve">Domain</t>
  </si>
  <si>
    <t xml:space="preserve">Number of Samples</t>
  </si>
  <si>
    <t xml:space="preserve">Features</t>
  </si>
  <si>
    <t xml:space="preserve">Public or Private</t>
  </si>
  <si>
    <t xml:space="preserve">Download Link</t>
  </si>
  <si>
    <t xml:space="preserve">Papers Using It</t>
  </si>
  <si>
    <t xml:space="preserve">Genpact 'Food Demand Forecasting' dataset</t>
  </si>
  <si>
    <t xml:space="preserve">AnalyticsVidhya Datahack Hackathon / Kaggle mirror (kannanaikkal/food-demand-forecasting)</t>
  </si>
  <si>
    <t xml:space="preserve">Meal-delivery / fulfilment-center demand</t>
  </si>
  <si>
    <t xml:space="preserve">450,730 records; 51 meals x 77 centers x 145 weeks</t>
  </si>
  <si>
    <t xml:space="preserve">Center ID, meal ID, week, checkout price, base price, promotion flags, lagged demand</t>
  </si>
  <si>
    <t xml:space="preserve">Number of orders</t>
  </si>
  <si>
    <t xml:space="preserve">Public</t>
  </si>
  <si>
    <t xml:space="preserve">https://www.kaggle.com/datasets/kannanaikkal/food-demand-forecasting</t>
  </si>
  <si>
    <t xml:space="preserve">Time Series Forecasting of Food Demand Supply Chain (IEEE); Deep Generative Demand Learning for Newsvendor and Pricing</t>
  </si>
  <si>
    <t xml:space="preserve">Café POS dataset (3 menu items)</t>
  </si>
  <si>
    <t xml:space="preserve">Proprietary café point-of-sale system</t>
  </si>
  <si>
    <t xml:space="preserve">Café/restaurant retail demand</t>
  </si>
  <si>
    <t xml:space="preserve">Not stated (POS transaction-level, event-driven)</t>
  </si>
  <si>
    <t xml:space="preserve">Date, menu item, price, holiday/event flags</t>
  </si>
  <si>
    <t xml:space="preserve">Daily menu-item sales</t>
  </si>
  <si>
    <t xml:space="preserve">Private</t>
  </si>
  <si>
    <t xml:space="preserve">Company canteen order records</t>
  </si>
  <si>
    <t xml:space="preserve">Proprietary canteen ordering system</t>
  </si>
  <si>
    <t xml:space="preserve">Institutional canteen demand</t>
  </si>
  <si>
    <t xml:space="preserve">31 days (October 2023)</t>
  </si>
  <si>
    <t xml:space="preserve">Date, day-of-week, menu category (burger/pizza/Asian, etc.)</t>
  </si>
  <si>
    <t xml:space="preserve">Daily food demand</t>
  </si>
  <si>
    <t xml:space="preserve">Food Demand Forecasting with Machine Learning Methods (Decision Tree)</t>
  </si>
  <si>
    <t xml:space="preserve">Panama university cafeteria waste + behavioral survey</t>
  </si>
  <si>
    <t xml:space="preserve">Field data collection at a Panamanian university</t>
  </si>
  <si>
    <t xml:space="preserve">University cafeteria solid-waste generation</t>
  </si>
  <si>
    <t xml:space="preserve">20 days of waste characterization; 705 valid survey responses (772 collected)</t>
  </si>
  <si>
    <t xml:space="preserve">Shift, organic/inorganic fraction, demographic and behavioral survey items</t>
  </si>
  <si>
    <t xml:space="preserve">Solid waste generated (kg) by shift</t>
  </si>
  <si>
    <t xml:space="preserve">A Data-Driven Predictive Approach to Achieve Waste Management at the Local Scale</t>
  </si>
  <si>
    <t xml:space="preserve">Military dining facility operational data</t>
  </si>
  <si>
    <t xml:space="preserve">Institutional records (military dining facility)</t>
  </si>
  <si>
    <t xml:space="preserve">Large-scale institutional food service</t>
  </si>
  <si>
    <t xml:space="preserve">Menu composition, meal schedule, standardized menu cycle variables</t>
  </si>
  <si>
    <t xml:space="preserve">Plate/food waste quantity</t>
  </si>
  <si>
    <t xml:space="preserve">Leveraging Machine Learning to Predict Food Waste Quantity (Military Dining)</t>
  </si>
  <si>
    <t xml:space="preserve">Bakery 'Foodforecast' sales/returns data</t>
  </si>
  <si>
    <t xml:space="preserve">Real-world bakery chain operational system</t>
  </si>
  <si>
    <t xml:space="preserve">Bakery retail demand and returns</t>
  </si>
  <si>
    <t xml:space="preserve">Real-world, multi-store (exact N not stated)</t>
  </si>
  <si>
    <t xml:space="preserve">Historical sales, returns, product type</t>
  </si>
  <si>
    <t xml:space="preserve">Demand forecast / bread &amp; roll returns</t>
  </si>
  <si>
    <t xml:space="preserve">Machine-learning-based demand forecasting against food waste (bakery LCA study)</t>
  </si>
  <si>
    <t xml:space="preserve">Student hostel mess records (Dhaka, Bangladesh)</t>
  </si>
  <si>
    <t xml:space="preserve">Manual mess records, engineering university</t>
  </si>
  <si>
    <t xml:space="preserve">Student hostel/dormitory food-service waste</t>
  </si>
  <si>
    <t xml:space="preserve">6 months of records; 18 engineered features</t>
  </si>
  <si>
    <t xml:space="preserve">Meal type, attendance, menu item, day-of-week, and 14 other engineered features</t>
  </si>
  <si>
    <t xml:space="preserve">Food waste category/quantity</t>
  </si>
  <si>
    <t xml:space="preserve">An Ensemble ML Model to Predict the Wastage of Food</t>
  </si>
  <si>
    <t xml:space="preserve">Household food-waste behavior survey (India)</t>
  </si>
  <si>
    <t xml:space="preserve">Cross-sectional survey across India</t>
  </si>
  <si>
    <t xml:space="preserve">Household food-waste behavior</t>
  </si>
  <si>
    <t xml:space="preserve">n = 341 respondents</t>
  </si>
  <si>
    <t xml:space="preserve">TPB constructs, self-responsibility, eco-consciousness, food/home-management items</t>
  </si>
  <si>
    <t xml:space="preserve">Food-wastage behavior/level</t>
  </si>
  <si>
    <t xml:space="preserve">An extension of the theory of planned behavior with machine learning (India)</t>
  </si>
  <si>
    <t xml:space="preserve">Capital Normal University cafeteria plate/face image set</t>
  </si>
  <si>
    <t xml:space="preserve">'Logistics Education Credit Service Management Platform' (China)</t>
  </si>
  <si>
    <t xml:space="preserve">University canteen plate-waste computer vision</t>
  </si>
  <si>
    <t xml:space="preserve">Not stated (multi-directional monitoring images)</t>
  </si>
  <si>
    <t xml:space="preserve">Plate images (clean/not clean), diner face images</t>
  </si>
  <si>
    <t xml:space="preserve">Strategies for Automated Identification of Food Waste in University Cafeterias</t>
  </si>
  <si>
    <t xml:space="preserve">Canteen plate image set (before/after, augmented)</t>
  </si>
  <si>
    <t xml:space="preserve">Custom data collection for YOLOv11 study</t>
  </si>
  <si>
    <t xml:space="preserve">Canteen plate-waste computer vision</t>
  </si>
  <si>
    <t xml:space="preserve">Not stated (custom dataset + augmentation)</t>
  </si>
  <si>
    <t xml:space="preserve">Plate images before/after lunch or dinner</t>
  </si>
  <si>
    <t xml:space="preserve">% food waste on plate</t>
  </si>
  <si>
    <t xml:space="preserve">Food Waste Detection in Canteen Plates Using YOLOv11; Food Waste Detection in Canteen Plates with VLLMs</t>
  </si>
  <si>
    <t xml:space="preserve">Plate-image set for CNN food-waste estimation</t>
  </si>
  <si>
    <t xml:space="preserve">Custom data collection (Electronics/MDPI study)</t>
  </si>
  <si>
    <t xml:space="preserve">Plate-level food-waste computer vision</t>
  </si>
  <si>
    <t xml:space="preserve">1,354 images</t>
  </si>
  <si>
    <t xml:space="preserve">% food waste (masked-area difference)</t>
  </si>
  <si>
    <t xml:space="preserve">Kitchen food-waste image set</t>
  </si>
  <si>
    <t xml:space="preserve">Client-collected smartphone images (arXiv 2401.15175 study)</t>
  </si>
  <si>
    <t xml:space="preserve">Kitchen/recycling food-waste segmentation</t>
  </si>
  <si>
    <t xml:space="preserve">3,128 images at 4032x3024 resolution</t>
  </si>
  <si>
    <t xml:space="preserve">High-resolution kitchen food-waste images, manually annotated masks</t>
  </si>
  <si>
    <t xml:space="preserve">Waste instance segmentation category</t>
  </si>
  <si>
    <t xml:space="preserve">Bin-mounted camera food-waste image set</t>
  </si>
  <si>
    <t xml:space="preserve">Cameras installed on waste bins (arXiv 2002.03786 study)</t>
  </si>
  <si>
    <t xml:space="preserve">Consumption-stage food-waste classification</t>
  </si>
  <si>
    <t xml:space="preserve">~500,000 images</t>
  </si>
  <si>
    <t xml:space="preserve">Top-down images of food waste in bins over time</t>
  </si>
  <si>
    <t xml:space="preserve">Food-waste class/composition</t>
  </si>
  <si>
    <t xml:space="preserve">Moroccan supermarket demand data</t>
  </si>
  <si>
    <t xml:space="preserve">Proprietary supermarket records (Morocco)</t>
  </si>
  <si>
    <t xml:space="preserve">Retail/supermarket food demand</t>
  </si>
  <si>
    <t xml:space="preserve">6-month period</t>
  </si>
  <si>
    <t xml:space="preserve">Historical sales, quarterly seasonality indicators</t>
  </si>
  <si>
    <t xml:space="preserve">Daily consumer demand</t>
  </si>
  <si>
    <t xml:space="preserve">Demand Forecasting Models for Food Industry by Utilizing Machine Learning Approaches (IJACSA)</t>
  </si>
  <si>
    <t xml:space="preserve">Austrian staff canteen &amp; restaurant POS data</t>
  </si>
  <si>
    <t xml:space="preserve">Point-of-Sale systems at 1 casual restaurant + 1 large staff canteen</t>
  </si>
  <si>
    <t xml:space="preserve">Canteen/restaurant menu-item sales forecasting</t>
  </si>
  <si>
    <t xml:space="preserve">20 months per site, multiple time series</t>
  </si>
  <si>
    <t xml:space="preserve">Date, menu item, trend, seasonality, holiday flags</t>
  </si>
  <si>
    <t xml:space="preserve">Retail sales + weather/demographic dataset</t>
  </si>
  <si>
    <t xml:space="preserve">Kaggle-sourced retail sales combined with weather data</t>
  </si>
  <si>
    <t xml:space="preserve">Retail sales forecasting (food-adjacent)</t>
  </si>
  <si>
    <t xml:space="preserve">Not stated (real-world retail data)</t>
  </si>
  <si>
    <t xml:space="preserve">Public (partially, Kaggle-sourced)</t>
  </si>
  <si>
    <t xml:space="preserve">Not available (source is Kaggle-aggregated, specific dataset link not captured)</t>
  </si>
  <si>
    <t xml:space="preserve">Sales forecasting for retail stores using hybrid neural networks (CNN-LSTM)</t>
  </si>
  <si>
    <t xml:space="preserve">Restaurant operational dataset (public release)</t>
  </si>
  <si>
    <t xml:space="preserve">Authors' own collected/released dataset (arXiv 2609.08078)</t>
  </si>
  <si>
    <t xml:space="preserve">Restaurant food-waste prediction</t>
  </si>
  <si>
    <t xml:space="preserve">Not stated (with leakage/ablation analysis of num_orders feature)</t>
  </si>
  <si>
    <t xml:space="preserve">Menu diversity, operational area, temporal activity patterns, num_orders (flagged as leaky)</t>
  </si>
  <si>
    <t xml:space="preserve">Constructed food-waste proxy target</t>
  </si>
  <si>
    <t xml:space="preserve">Public (codebase + dataset released by authors)</t>
  </si>
  <si>
    <t xml:space="preserve">Referenced in paper (arxiv.org/html/2609.08078); direct dataset link not captured in search</t>
  </si>
  <si>
    <t xml:space="preserve">A Machine Learning Framework for Predicting Restaurant Food Waste</t>
  </si>
  <si>
    <t xml:space="preserve">Table 5 — Feature Engineering Analysis. 'Frequency of Use' and 'Importance' are qualitative judgments drawn from how often/prominently each feature appeared across the reviewed papers, not a formal meta-analytic count.</t>
  </si>
  <si>
    <t xml:space="preserve">Feature</t>
  </si>
  <si>
    <t xml:space="preserve">Frequency of Use</t>
  </si>
  <si>
    <t xml:space="preserve">Importance</t>
  </si>
  <si>
    <t xml:space="preserve">Description</t>
  </si>
  <si>
    <t xml:space="preserve">Data Type</t>
  </si>
  <si>
    <t xml:space="preserve">Day of Week</t>
  </si>
  <si>
    <t xml:space="preserve">High</t>
  </si>
  <si>
    <t xml:space="preserve">High — explicit weekday/weekend demand gaps reported (~17.4% higher weekend demand)</t>
  </si>
  <si>
    <t xml:space="preserve">Categorical indicator of the day (Mon-Sun); captures weekly demand rhythm</t>
  </si>
  <si>
    <t xml:space="preserve">Categorical</t>
  </si>
  <si>
    <t xml:space="preserve">Decision Tree company-canteen study; Bayesian GAM canteen study; most demand-forecasting papers implicitly</t>
  </si>
  <si>
    <t xml:space="preserve">Historical Demand (lagged sales/orders)</t>
  </si>
  <si>
    <t xml:space="preserve">High — primary driver in nearly every forecasting model</t>
  </si>
  <si>
    <t xml:space="preserve">Prior-period demand values used as autoregressive input</t>
  </si>
  <si>
    <t xml:space="preserve">Numeric (time series)</t>
  </si>
  <si>
    <t xml:space="preserve">Genpact/IEEE regressor study; Bayesian GAM study; cDGM newsvendor study; café POS SARIMA/Prophet/LSTM study</t>
  </si>
  <si>
    <t xml:space="preserve">Holidays / Special Events</t>
  </si>
  <si>
    <t xml:space="preserve">High — explicitly modeled as a distinct effect in several models</t>
  </si>
  <si>
    <t xml:space="preserve">Binary/categorical flag for public holidays, festivals, or one-off events</t>
  </si>
  <si>
    <t xml:space="preserve">Categorical/Binary</t>
  </si>
  <si>
    <t xml:space="preserve">Bayesian GAM canteen study; Prophet café study; CNN-LSTM retail study (holidays, salary days, protests)</t>
  </si>
  <si>
    <t xml:space="preserve">Menu Item / Menu Type / Menu Diversity</t>
  </si>
  <si>
    <t xml:space="preserve">High — identified as a top predictive driver in restaurant waste study</t>
  </si>
  <si>
    <t xml:space="preserve">Which dish/category is offered; count of distinct items offered (diversity)</t>
  </si>
  <si>
    <t xml:space="preserve">Categorical/Numeric</t>
  </si>
  <si>
    <t xml:space="preserve">Decision Tree company-canteen study; Restaurant food-waste ML framework (menu diversity = top driver)</t>
  </si>
  <si>
    <t xml:space="preserve">Weather (temperature, rainfall)</t>
  </si>
  <si>
    <t xml:space="preserve">Medium</t>
  </si>
  <si>
    <t xml:space="preserve">Medium-High in retail/food settings with outdoor footfall</t>
  </si>
  <si>
    <t xml:space="preserve">Local weather conditions on the forecast day</t>
  </si>
  <si>
    <t xml:space="preserve">Numeric</t>
  </si>
  <si>
    <t xml:space="preserve">CNN-LSTM retail sales study (rainfall, temperature); broadly cited in food-retail forecasting literature</t>
  </si>
  <si>
    <t xml:space="preserve">Price / Promotion / Discount Flags</t>
  </si>
  <si>
    <t xml:space="preserve">High for order-volume-sensitive settings (meal delivery)</t>
  </si>
  <si>
    <t xml:space="preserve">Checkout price, base price, and promotion indicator</t>
  </si>
  <si>
    <t xml:space="preserve">Numeric/Binary</t>
  </si>
  <si>
    <t xml:space="preserve">Genpact/IEEE regressor study; Deep Generative Demand Learning (newsvendor/pricing) study</t>
  </si>
  <si>
    <t xml:space="preserve">Attendance / Footfall / Number of Users</t>
  </si>
  <si>
    <t xml:space="preserve">High — direct driver of both demand and waste volume</t>
  </si>
  <si>
    <t xml:space="preserve">Count of diners, students, or customers expected/observed</t>
  </si>
  <si>
    <t xml:space="preserve">Panama cafeteria waste study (user count -&gt; waste, linear regression); military dining ML study</t>
  </si>
  <si>
    <t xml:space="preserve">Operational Area / Facility Size</t>
  </si>
  <si>
    <t xml:space="preserve">Physical size or capacity of the food-service operation</t>
  </si>
  <si>
    <t xml:space="preserve">Numeric/Categorical</t>
  </si>
  <si>
    <t xml:space="preserve">A Machine Learning Framework for Predicting Restaurant Food Waste (operational area = top driver)</t>
  </si>
  <si>
    <t xml:space="preserve">Previous / Historical Waste Levels</t>
  </si>
  <si>
    <t xml:space="preserve">High — natural autoregressive signal for waste-specific prediction</t>
  </si>
  <si>
    <t xml:space="preserve">Prior-period recorded food-waste quantity</t>
  </si>
  <si>
    <t xml:space="preserve">Hostel-mess ensemble ML study; general framing across waste-prediction papers</t>
  </si>
  <si>
    <t xml:space="preserve">Kitchen Staff Count / Staff Experience</t>
  </si>
  <si>
    <t xml:space="preserve">Low-Medium</t>
  </si>
  <si>
    <t xml:space="preserve">Medium — operational driver in cafeteria waste-prediction apps</t>
  </si>
  <si>
    <t xml:space="preserve">Number and experience level of kitchen/prep staff on a given day</t>
  </si>
  <si>
    <t xml:space="preserve">Cafeteria food-waste prediction (Streamlit/Kaggle-based project referenced in initial search)</t>
  </si>
  <si>
    <t xml:space="preserve">Socioeconomic Factors</t>
  </si>
  <si>
    <t xml:space="preserve">Low</t>
  </si>
  <si>
    <t xml:space="preserve">Medium — improves waste-generation-trend forecasts when included</t>
  </si>
  <si>
    <t xml:space="preserve">Income level, demographic or regional economic indicators</t>
  </si>
  <si>
    <t xml:space="preserve">Ensemble ML waste-generation-trend study (World Bank waste dataset)</t>
  </si>
  <si>
    <t xml:space="preserve">Behavioral / Attitudinal Features (self-responsibility, eco-consciousness, food-management habits)</t>
  </si>
  <si>
    <t xml:space="preserve">High for household-level prediction — improved accuracy ~12%</t>
  </si>
  <si>
    <t xml:space="preserve">Survey-derived psychological/behavioral constructs extending Theory of Planned Behavior</t>
  </si>
  <si>
    <t xml:space="preserve">Ordinal/Numeric (survey scale)</t>
  </si>
  <si>
    <t xml:space="preserve">Household food-waste ML study (India, TPB extension)</t>
  </si>
  <si>
    <t xml:space="preserve">Booking / Reservation Behavior</t>
  </si>
  <si>
    <t xml:space="preserve">Medium-High for subsidized/booking-based dining systems</t>
  </si>
  <si>
    <t xml:space="preserve">Meal-booking or reservation records reflecting intended vs. actual attendance</t>
  </si>
  <si>
    <t xml:space="preserve">Preventing food waste in subsidy-based university dining (ANN model)</t>
  </si>
  <si>
    <t xml:space="preserve">Plate Image (visual features)</t>
  </si>
  <si>
    <t xml:space="preserve">High for computer-vision-based waste quantification</t>
  </si>
  <si>
    <t xml:space="preserve">Raw or processed image of a plate before/after a meal</t>
  </si>
  <si>
    <t xml:space="preserve">Image (unstructured)</t>
  </si>
  <si>
    <t xml:space="preserve">YOLOv11 canteen-plate study; CNN food-waste estimation study; VLLM plate-waste study</t>
  </si>
  <si>
    <t xml:space="preserve">Trend / Seasonality Spline Terms</t>
  </si>
  <si>
    <t xml:space="preserve">High — core structural component of Bayesian GAM models</t>
  </si>
  <si>
    <t xml:space="preserve">Smooth mathematical basis functions capturing gradual trend and repeating seasonal cycles</t>
  </si>
  <si>
    <t xml:space="preserve">Numeric (derived)</t>
  </si>
  <si>
    <t xml:space="preserve">Bayesian Approach for Predicting Food and Beverage Sales (GAM trend/seasonality splines)</t>
  </si>
  <si>
    <t xml:space="preserve">Table 6 — Evaluation Metrics used across the reviewed literature (regression metrics dominate, since most canteen work is demand/waste-quantity regression rather than classification).</t>
  </si>
  <si>
    <t xml:space="preserve">Metric</t>
  </si>
  <si>
    <t xml:space="preserve">Formula</t>
  </si>
  <si>
    <t xml:space="preserve">Used By Which Papers</t>
  </si>
  <si>
    <t xml:space="preserve">Suitable For</t>
  </si>
  <si>
    <t xml:space="preserve">Interpretation</t>
  </si>
  <si>
    <t xml:space="preserve">MAE (Mean Absolute Error)</t>
  </si>
  <si>
    <t xml:space="preserve">MAE = (1/n) * SUM(|y_actual - y_predicted|)</t>
  </si>
  <si>
    <t xml:space="preserve">Restaurant food-waste ML framework (arXiv 2609.08078); Genpact/IEEE regressor comparison</t>
  </si>
  <si>
    <t xml:space="preserve">Regression tasks where all errors should be weighted equally (no extra penalty for large errors)</t>
  </si>
  <si>
    <t xml:space="preserve">Average absolute deviation in the target's original units (e.g., kg of waste); lower is better; easy to explain to non-technical stakeholders</t>
  </si>
  <si>
    <t xml:space="preserve">RMSE (Root Mean Squared Error)</t>
  </si>
  <si>
    <t xml:space="preserve">RMSE = SQRT[(1/n) * SUM((y_actual - y_predicted)^2)]</t>
  </si>
  <si>
    <t xml:space="preserve">Restaurant food-waste ML framework; Genpact/IEEE regressor comparison; An Empirical Study on Food-Retail Demand Forecasting (SARIMA/Prophet/LSTM)</t>
  </si>
  <si>
    <t xml:space="preserve">Regression tasks where large errors should be penalized more heavily than small ones</t>
  </si>
  <si>
    <t xml:space="preserve">Same units as target; more sensitive to outliers/large misses than MAE; lower is better</t>
  </si>
  <si>
    <t xml:space="preserve">MSE (Mean Squared Error)</t>
  </si>
  <si>
    <t xml:space="preserve">MSE = (1/n) * SUM((y_actual - y_predicted)^2)</t>
  </si>
  <si>
    <t xml:space="preserve">Implicit basis for RMSE across regression papers</t>
  </si>
  <si>
    <t xml:space="preserve">Same as RMSE but in squared units; often used internally during model training/optimization</t>
  </si>
  <si>
    <t xml:space="preserve">Penalizes large errors quadratically; harder to interpret directly since units are squared</t>
  </si>
  <si>
    <t xml:space="preserve">R-squared (R^2 / Coefficient of Determination)</t>
  </si>
  <si>
    <t xml:space="preserve">R^2 = 1 - [SUM((y_actual - y_predicted)^2) / SUM((y_actual - y_mean)^2)]</t>
  </si>
  <si>
    <t xml:space="preserve">Restaurant food-waste ML framework (arXiv 2609.08078) — reported R^2 = 0.817 for Random Forest</t>
  </si>
  <si>
    <t xml:space="preserve">Assessing how much variance in the target the model explains</t>
  </si>
  <si>
    <t xml:space="preserve">Ranges roughly 0-1 (can be negative for poor models); closer to 1 means better fit; sensitive to how the proxy target is constructed</t>
  </si>
  <si>
    <t xml:space="preserve">MAPE (Mean Absolute Percentage Error)</t>
  </si>
  <si>
    <t xml:space="preserve">MAPE = (1/n) * SUM(|(y_actual - y_predicted) / y_actual|) * 100%</t>
  </si>
  <si>
    <t xml:space="preserve">Genpact/IEEE regressor comparison; Sales forecasting hybrid CNN-LSTM retail study (MAPE 4.16%)</t>
  </si>
  <si>
    <t xml:space="preserve">Comparing forecast accuracy across series/items with different scales</t>
  </si>
  <si>
    <t xml:space="preserve">Percentage error, easy to compare across products; undefined/unstable when actual values are near zero (common for low-demand items)</t>
  </si>
  <si>
    <t xml:space="preserve">RMSLE (Root Mean Squared Logarithmic Error)</t>
  </si>
  <si>
    <t xml:space="preserve">RMSLE = SQRT[(1/n) * SUM((log(y_predicted+1) - log(y_actual+1))^2)]</t>
  </si>
  <si>
    <t xml:space="preserve">Genpact/IEEE regressor comparison (RMSLE 0.28 for best LSTM model); Genpact hackathon leaderboard metric</t>
  </si>
  <si>
    <t xml:space="preserve">Demand forecasting where under-prediction and over-prediction should be penalized asymmetrically, and target spans a wide numeric range</t>
  </si>
  <si>
    <t xml:space="preserve">Penalizes relative (not absolute) differences; robust to outliers and large-scale targets; lower is better</t>
  </si>
  <si>
    <t xml:space="preserve">SMAPE (Symmetric Mean Absolute Percentage Error)</t>
  </si>
  <si>
    <t xml:space="preserve">SMAPE = (1/n) * SUM(2*|y_actual - y_predicted| / (|y_actual| + |y_predicted|)) * 100%</t>
  </si>
  <si>
    <t xml:space="preserve">Not directly observed in the reviewed papers, but standard in the broader demand-forecasting literature</t>
  </si>
  <si>
    <t xml:space="preserve">Percentage-based comparison across series while avoiding MAPE's divide-by-zero instability</t>
  </si>
  <si>
    <t xml:space="preserve">Bounded between 0-200%; symmetric treatment of over/under-forecasting; still has known distortions near zero values</t>
  </si>
  <si>
    <t xml:space="preserve">Precision</t>
  </si>
  <si>
    <t xml:space="preserve">Precision = TP / (TP + FP)</t>
  </si>
  <si>
    <t xml:space="preserve">Household food-waste ML study (India, TPB extension) — implicit in classifier evaluation</t>
  </si>
  <si>
    <t xml:space="preserve">Classification tasks (e.g., waste-category or wastage-behavior classification) where false positives are costly</t>
  </si>
  <si>
    <t xml:space="preserve">Share of positive predictions that are actually correct; higher is better</t>
  </si>
  <si>
    <t xml:space="preserve">Recall</t>
  </si>
  <si>
    <t xml:space="preserve">Recall = TP / (TP + FN)</t>
  </si>
  <si>
    <t xml:space="preserve">Classification tasks where missing true positives (false negatives) is costly</t>
  </si>
  <si>
    <t xml:space="preserve">Share of actual positives correctly identified; higher is better</t>
  </si>
  <si>
    <t xml:space="preserve">F1 Score</t>
  </si>
  <si>
    <t xml:space="preserve">F1 = 2 * (Precision * Recall) / (Precision + Recall)</t>
  </si>
  <si>
    <t xml:space="preserve">An Ensemble ML Model to Predict the Wastage of Food (hostel mess) — best ensemble F1 = 86.88%</t>
  </si>
  <si>
    <t xml:space="preserve">Classification tasks with imbalanced classes (e.g., 'wasted' vs 'not wasted' categories)</t>
  </si>
  <si>
    <t xml:space="preserve">Harmonic mean of precision and recall; balances both concerns into a single score; higher is better</t>
  </si>
  <si>
    <t xml:space="preserve">ROC-AUC (Area Under the ROC Curve)</t>
  </si>
  <si>
    <t xml:space="preserve">AUC = area under the plot of True Positive Rate vs. False Positive Rate across thresholds</t>
  </si>
  <si>
    <t xml:space="preserve">Not directly reported in the reviewed canteen/food-waste papers, but standard for binary waste-risk classifiers</t>
  </si>
  <si>
    <t xml:space="preserve">Binary classification tasks (e.g., 'high-waste day' vs 'low-waste day' risk flag)</t>
  </si>
  <si>
    <t xml:space="preserve">Ranges 0.5 (random) to 1.0 (perfect); measures ranking quality independent of classification threshold</t>
  </si>
  <si>
    <t xml:space="preserve">Accuracy</t>
  </si>
  <si>
    <t xml:space="preserve">Accuracy = (TP + TN) / (TP + TN + FP + FN)</t>
  </si>
  <si>
    <t xml:space="preserve">An Ensemble ML Model to Predict the Wastage of Food (~75.41% RF/DT accuracy); Household food-waste ML study</t>
  </si>
  <si>
    <t xml:space="preserve">Classification tasks with roughly balanced classes</t>
  </si>
  <si>
    <t xml:space="preserve">Overall share of correct predictions; can be misleading on imbalanced waste-vs-no-waste datasets</t>
  </si>
  <si>
    <t xml:space="preserve">Table 7 — Research Gaps synthesized from explicit limitation/future-work statements found in the reviewed papers and reviews.</t>
  </si>
  <si>
    <t xml:space="preserve">Research Gap</t>
  </si>
  <si>
    <t xml:space="preserve">Papers Mentioning It / Evidence For It</t>
  </si>
  <si>
    <t xml:space="preserve">Possible Solution</t>
  </si>
  <si>
    <t xml:space="preserve">Most studies are single-site case studies with small, non-generalizable datasets (e.g., 31 days, 20 days, 6 months of records)</t>
  </si>
  <si>
    <t xml:space="preserve">Decision Tree company-canteen study (31 days); Panama cafeteria study (20 days); Bangladesh hostel-mess study (6 months)</t>
  </si>
  <si>
    <t xml:space="preserve">Multi-site data pooling/federated data collection across institutions; publish standardized benchmark datasets for canteen demand/waste</t>
  </si>
  <si>
    <t xml:space="preserve">Lack of standardized food-waste categorization and measurement protocols across studies</t>
  </si>
  <si>
    <t xml:space="preserve">Food Security via Food Waste Prevention: Categorization of Household Food Waste (MDPI, notes lack of standardized categorization)</t>
  </si>
  <si>
    <t xml:space="preserve">Adopt a shared taxonomy (e.g., pre-consumer vs. post-consumer waste, edible vs. non-edible) before model comparison across studies</t>
  </si>
  <si>
    <t xml:space="preserve">Advanced ML/DL approaches often impractical for resource-limited institutions (data, compute, expertise constraints)</t>
  </si>
  <si>
    <t xml:space="preserve">A Data-Driven Predictive Approach to Waste Management (Panama) explicitly notes this; several student/hostel papers use only simple methods</t>
  </si>
  <si>
    <t xml:space="preserve">Lightweight/interpretable models (e.g., simple regression, decision trees) as a deliberate design choice for low-resource settings, not just a fallback</t>
  </si>
  <si>
    <t xml:space="preserve">Cross-institution transferability of trained models is largely untested</t>
  </si>
  <si>
    <t xml:space="preserve">Leveraging ML to Predict Food Waste Quantity (Military Dining) explicitly flags this as unresolved</t>
  </si>
  <si>
    <t xml:space="preserve">Design transfer-learning or domain-adaptation experiments; report performance on held-out institutions, not just held-out time periods</t>
  </si>
  <si>
    <t xml:space="preserve">Scarcity of real (non-synthetic), publicly released canteen/hostel datasets</t>
  </si>
  <si>
    <t xml:space="preserve">Hostel food-waste-ai GitHub project explicitly uses synthetic data and labels it as such; most institutional datasets in this review are private</t>
  </si>
  <si>
    <t xml:space="preserve">Encourage/require public data release (with privacy safeguards) as a condition of publication; use the restaurant food-waste ML framework's public-release approach as a model</t>
  </si>
  <si>
    <t xml:space="preserve">Demand forecasting and waste prediction are usually modeled separately rather than jointly</t>
  </si>
  <si>
    <t xml:space="preserve">Across the reviewed literature, demand-forecasting papers (Sheet 1, rows using LSTM/Genpact data) and waste-prediction papers (hostel/mess/plate studies) rarely combine both targets in one pipeline</t>
  </si>
  <si>
    <t xml:space="preserve">Build joint models that forecast demand and translate it into a waste/overproduction estimate in a single pipeline — directly relevant to a 'Smart Canteen Waste Predictor'</t>
  </si>
  <si>
    <t xml:space="preserve">Risk of data leakage and inflated performance claims from features correlated with the target by construction</t>
  </si>
  <si>
    <t xml:space="preserve">A Machine Learning Framework for Predicting Restaurant Food Waste explicitly identifies 'num_orders' as a leakage source and reports a realistic, leakage-free feature subset</t>
  </si>
  <si>
    <t xml:space="preserve">Adopt explicit leakage/ablation analysis (as this paper does) as a standard reporting practice before any 'reported accuracy' is trusted</t>
  </si>
  <si>
    <t xml:space="preserve">Explainability (XAI) is applied inconsistently and mostly only in behavior/survey-based studies</t>
  </si>
  <si>
    <t xml:space="preserve">XAI used only in the India household-TPB survey study among reviewed papers; not used in demand-forecasting or CV plate-waste papers</t>
  </si>
  <si>
    <t xml:space="preserve">Apply SHAP/LIME-style feature-importance analysis to operational demand/waste models as well, not just behavioral-survey models</t>
  </si>
  <si>
    <t xml:space="preserve">Computer-vision food-waste datasets suffer from imbalance and limited real-world variability</t>
  </si>
  <si>
    <t xml:space="preserve">A Systematic Review of AI-Based Techniques for Automated Waste Classification (PMC) explicitly names dataset imbalance and real-world variability as key limitations</t>
  </si>
  <si>
    <t xml:space="preserve">Data augmentation, multi-site image collection across lighting/plate-type variation, and synthetic data generation to balance classes</t>
  </si>
  <si>
    <t xml:space="preserve">Food-specific AI/ML research is under-represented relative to municipal solid waste research within circular-economy literature</t>
  </si>
  <si>
    <t xml:space="preserve">Machine Learning and Artificial Intelligence in Circular Economy SLR (arXiv 2205.01042) explicitly notes only 2 articles on bio-/e-waste vs. many on municipal solid waste</t>
  </si>
  <si>
    <t xml:space="preserve">Position canteen-waste-prediction research explicitly within the circular-economy/food-systems literature to help close this gap</t>
  </si>
  <si>
    <t xml:space="preserve">Behavioral/psychological drivers of waste (student/diner choices) are rarely integrated with operational/menu data</t>
  </si>
  <si>
    <t xml:space="preserve">Panama cafeteria study integrates behavioral survey + waste data but calls this integration still rare in the literature; TPB-ML India study only covers household (not institutional canteen) behavior</t>
  </si>
  <si>
    <t xml:space="preserve">Extend TPB-style behavioral feature integration specifically into institutional canteen settings, combined with operational/menu features</t>
  </si>
  <si>
    <t xml:space="preserve">Table 8 — Technology Trends. Two rows (Reinforcement Learning, Digital Twins) are included because your brief asked for them, but honestly flagged as not found as canteen-specific implementations in this search — include only as forward-looking gaps, not established trends.</t>
  </si>
  <si>
    <t xml:space="preserve">Technology</t>
  </si>
  <si>
    <t xml:space="preserve">Benefits</t>
  </si>
  <si>
    <t xml:space="preserve">Maturity Level</t>
  </si>
  <si>
    <t xml:space="preserve">IoT Sensors (weight/ultrasonic smart bins)</t>
  </si>
  <si>
    <t xml:space="preserve">Deep Learning for Classifying Food Waste (bin-mounted cameras); broader smart-bin IoT literature reviewed for context (AIoT smart bin, IoT-based smart bin studies)</t>
  </si>
  <si>
    <t xml:space="preserve">Real-time, low-effort data capture of waste weight/volume without manual logging; enables behavior-change feedback to consumers</t>
  </si>
  <si>
    <t xml:space="preserve">Maturing — widely piloted in general waste management; less common specifically in canteen/food-waste contexts</t>
  </si>
  <si>
    <t xml:space="preserve">Computer Vision (CNN, YOLO, segmentation)</t>
  </si>
  <si>
    <t xml:space="preserve">Food Recognition &amp; Waste Estimation (CNN); YOLOv11 canteen-plate study; School Dining 'Clear Plate' system (YOLOv4-style); Kitchen Food Waste Image Segmentation</t>
  </si>
  <si>
    <t xml:space="preserve">Automated, scalable plate/tray-level waste quantification without manual weighing; enables per-diner feedback</t>
  </si>
  <si>
    <t xml:space="preserve">Emerging-to-maturing — multiple 2022-2025 papers show rapid iteration (CNN -&gt; YOLOv4 -&gt; YOLOv11 -&gt; VLLM-based)</t>
  </si>
  <si>
    <t xml:space="preserve">Explainable AI (XAI)</t>
  </si>
  <si>
    <t xml:space="preserve">An extension of the theory of planned behavior with machine learning (India) — uses XAI for feature-importance interpretation</t>
  </si>
  <si>
    <t xml:space="preserve">Improves transparency and trust in predictions for stakeholders (managers, policymakers); helps identify actionable waste drivers</t>
  </si>
  <si>
    <t xml:space="preserve">Emerging in this specific domain — only 1 reviewed paper applies it directly to food-waste prediction</t>
  </si>
  <si>
    <t xml:space="preserve">Hybrid Statistical + Deep Learning Models (ARIMA-LSTM, CNN-LSTM, Bayesian GAM)</t>
  </si>
  <si>
    <t xml:space="preserve">A Bayesian Approach for Predicting Food and Beverage Sales (Bayesian GAM); Sales forecasting hybrid CNN-LSTM retail study; broader ARIMA-LSTM hybrid literature reviewed for context</t>
  </si>
  <si>
    <t xml:space="preserve">Combines interpretability/stability of statistical models with the pattern-capturing power of deep learning; often outperforms either approach alone</t>
  </si>
  <si>
    <t xml:space="preserve">Maturing — well-established in general retail/demand forecasting, increasingly applied to food-service settings</t>
  </si>
  <si>
    <t xml:space="preserve">Ensemble Learning (Random Forest, Gradient Boosting, AdaBoost combinations)</t>
  </si>
  <si>
    <t xml:space="preserve">An Ensemble ML Model to Predict the Wastage of Food (hostel mess); Time Series Forecasting of Food Demand Supply Chain (7-regressor comparison)</t>
  </si>
  <si>
    <t xml:space="preserve">Higher robustness and accuracy than single models on structured/tabular institutional data; systematic best-combination search is tractable</t>
  </si>
  <si>
    <t xml:space="preserve">Mature — the dominant, most consistently reported family of techniques across the reviewed canteen/hostel demand and waste literature</t>
  </si>
  <si>
    <t xml:space="preserve">Generative / Probabilistic Demand Models (cDGM, Bayesian GAM)</t>
  </si>
  <si>
    <t xml:space="preserve">Deep Generative Demand Learning for Newsvendor and Pricing; A Bayesian Approach for Predicting Food and Beverage Sales</t>
  </si>
  <si>
    <t xml:space="preserve">Models the full demand distribution (not just a point estimate), directly supporting inventory/ordering decisions under uncertainty</t>
  </si>
  <si>
    <t xml:space="preserve">Emerging — few but growing number of papers (2020-2024) applying distributional/generative demand modeling to food service</t>
  </si>
  <si>
    <t xml:space="preserve">Digital Circular Food Systems (IoT + AI + Blockchain integration)</t>
  </si>
  <si>
    <t xml:space="preserve">Aligns waste-reduction technology with circular-economy and carbon-accounting goals across the supply chain</t>
  </si>
  <si>
    <t xml:space="preserve">Conceptual/early-stage — reviewed paper is itself a 2026 framework proposal; few implemented systems found in this search</t>
  </si>
  <si>
    <t xml:space="preserve">Sustainability/LCA-Integrated ML Evaluation</t>
  </si>
  <si>
    <t xml:space="preserve">Machine-learning-based demand forecasting against food waste (bakery LCA case study)</t>
  </si>
  <si>
    <t xml:space="preserve">Quantifies both the waste-reduction benefit and the environmental cost of running the ML system itself, giving a fuller sustainability picture</t>
  </si>
  <si>
    <t xml:space="preserve">Emerging — only 1 reviewed paper explicitly pairs ML demand forecasting with a life-cycle assessment</t>
  </si>
  <si>
    <t xml:space="preserve">Large Language / Visual-Language Models for Waste Detection</t>
  </si>
  <si>
    <t xml:space="preserve">Adds language-model reasoning on top of pretrained vision features, potentially enabling richer waste descriptions (not just percentages)</t>
  </si>
  <si>
    <t xml:space="preserve">Very early-stage — a single 2026 reviewed paper; broader VLLM-for-food-waste research is nascent</t>
  </si>
  <si>
    <t xml:space="preserve">Reinforcement Learning for Ordering/Inventory Decisions</t>
  </si>
  <si>
    <t xml:space="preserve">Referenced only indirectly (bullwhip-effect food-delivery paper cites RL for supply-chain forecasting; not a canteen-specific application found in this search)</t>
  </si>
  <si>
    <t xml:space="preserve">Could allow dynamic, adaptive ordering policies that learn from waste/stockout feedback over time</t>
  </si>
  <si>
    <t xml:space="preserve">Not found as an implemented canteen-specific application in this search — flagged as a likely future direction rather than a current trend</t>
  </si>
  <si>
    <t xml:space="preserve">Digital Twins for Smart Kitchens</t>
  </si>
  <si>
    <t xml:space="preserve">Not found as a dedicated paper in this search — mentioned only as an aspirational technology in general food-system AI reviews</t>
  </si>
  <si>
    <t xml:space="preserve">Could enable simulation-based testing of menu/production changes before real-world deployment</t>
  </si>
  <si>
    <t xml:space="preserve">Not found / largely aspirational in the canteen-waste literature as of this search</t>
  </si>
  <si>
    <t xml:space="preserve">Table 9 — Chronological Evolution (2015-present), based on the publication years of papers actually retrieved in this search; earlier years (2015-2018) are thin because this search surfaced few papers with that exact publication date.</t>
  </si>
  <si>
    <t xml:space="preserve">Major Algorithms in Use</t>
  </si>
  <si>
    <t xml:space="preserve">Breakthrough / Representative Papers</t>
  </si>
  <si>
    <t xml:space="preserve">New Ideas Introduced</t>
  </si>
  <si>
    <t xml:space="preserve">2015-2019</t>
  </si>
  <si>
    <t xml:space="preserve">Rule-based systems, basic sensors, decision-tree data mining</t>
  </si>
  <si>
    <t xml:space="preserve">AI based management of Food Wastage (CEUR-WS) — Arduino sensor + decision-tree hostel-mess pilot</t>
  </si>
  <si>
    <t xml:space="preserve">Early sensor-based plate/portion counting; framing food waste as a data-mining problem rather than purely a policy/behavioral one</t>
  </si>
  <si>
    <t xml:space="preserve">2020</t>
  </si>
  <si>
    <t xml:space="preserve">Sensor-based tracking, CNN image classification, early Bayesian GAMs</t>
  </si>
  <si>
    <t xml:space="preserve">Increasing Customer Awareness with a Sensor-Based Self-Serve Lunch Line (IEEE); Deep Learning for Classifying Food Waste (arXiv, ~500K bin images); A Bayesian Approach for Predicting Food and Beverage Sales (arXiv preprint)</t>
  </si>
  <si>
    <t xml:space="preserve">Consumer-facing waste feedback via sensors/apps; large-scale image-based waste classification; interpretable Bayesian generalized additive models for menu-item demand</t>
  </si>
  <si>
    <t xml:space="preserve">2021</t>
  </si>
  <si>
    <t xml:space="preserve">ANN, Bayesian GAM (journal version), hybrid ARIMA-LSTM emerging broadly</t>
  </si>
  <si>
    <t xml:space="preserve">Preventing food waste in subsidy-based university dining (ANN, Faezirad et al.); Bayesian Approach journal publication (Posch et al., IJF)</t>
  </si>
  <si>
    <t xml:space="preserve">Modeling booking/reservation uncertainty explicitly; hybrid statistical-deep-learning approaches gaining traction across forecasting fields generally</t>
  </si>
  <si>
    <t xml:space="preserve">2022</t>
  </si>
  <si>
    <t xml:space="preserve">CNN for plate-image waste estimation, broader circular-economy AI reviews</t>
  </si>
  <si>
    <t xml:space="preserve">Food Recognition and Food Waste Estimation Using CNN (Electronics/MDPI); Machine Learning and AI in Circular Economy SLR (arXiv)</t>
  </si>
  <si>
    <t xml:space="preserve">Automated before/after plate-image comparison for waste %; recognition that food/e-waste AI research lags municipal solid-waste AI research</t>
  </si>
  <si>
    <t xml:space="preserve">2023</t>
  </si>
  <si>
    <t xml:space="preserve">Ensemble learning (RF+GBM+AdaBoost), multi-layer NN vs. LSTM comparisons, 7-regressor benchmarking</t>
  </si>
  <si>
    <t xml:space="preserve">An Ensemble ML Model to Predict the Wastage of Food (Bangladesh hostel mess); Demand Forecasting Models for Food Industry (IJACSA, Morocco); Time Series Forecasting of Food Demand Supply Chain (IEEE, Genpact dataset); Artificial Intelligence in Food Safety bibliometric review (Foods/MDPI)</t>
  </si>
  <si>
    <t xml:space="preserve">Systematic best-combination search across ensemble learners; large-scale comparative benchmarking of classical ML vs. deep learning on a shared public dataset (Genpact)</t>
  </si>
  <si>
    <t xml:space="preserve">2024</t>
  </si>
  <si>
    <t xml:space="preserve">LCA-integrated ML forecasting, YOLO-based clear-plate detection, generative demand modeling</t>
  </si>
  <si>
    <t xml:space="preserve">Machine-learning-based demand forecasting against food waste (bakery LCA case study); An Intelligent Detection System for Monitoring Food Waste in School Dining Rooms (YOLOv4-style); Deep Generative Demand Learning for Newsvendor and Pricing (cDGM); PMC systematic review of AI-based waste classification</t>
  </si>
  <si>
    <t xml:space="preserve">Pairing demand-forecasting ML with life-cycle/environmental-impact assessment; full-distribution (generative) demand modeling for ordering/pricing decisions</t>
  </si>
  <si>
    <t xml:space="preserve">2025</t>
  </si>
  <si>
    <t xml:space="preserve">YOLOv11 plate detection, TPB+ML+XAI behavioral modeling, decision-tree canteen forecasting, CNN-LSTM hybrids with weather/holiday features</t>
  </si>
  <si>
    <t xml:space="preserve">Food Waste Detection in Canteen Plates Using YOLOv11; An extension of the theory of planned behavior with ML (India, XAI); Strategies for Automated Identification of Food Waste in University Cafeterias (China, machine vision); Sales forecasting using hybrid CNN-LSTM with weather/holiday variables</t>
  </si>
  <si>
    <t xml:space="preserve">Combining behavioral survey constructs with XAI; next-generation object detectors (YOLOv11) for plate-waste; face-recognition-linked plate-waste accountability systems</t>
  </si>
  <si>
    <t xml:space="preserve">2026</t>
  </si>
  <si>
    <t xml:space="preserve">Visual Large Language Models (VLLM) for waste detection, digital circular food systems (IoT+AI+blockchain), large-scale PRISMA reviews of AI-in-food-systems</t>
  </si>
  <si>
    <t xml:space="preserve">Food Waste Detection in Canteen Plates with Visual Large Language Models; A digital circular food system: A systematic review and novel conceptual framework; Bridging technology and sustainability: a systematic review of AI applications in global food systems; Leveraging ML to Predict Food Waste Quantity (Military Dining); A Data-Driven Predictive Approach to Waste Management (Panama)</t>
  </si>
  <si>
    <t xml:space="preserve">VLLM-based reasoning layered on top of CV models for richer waste descriptions; formal integration of IoT+AI+blockchain into a 'digital circular food system' framework; growing emphasis on cross-institution transferability and resource-constrained (interpretable-model) deployments</t>
  </si>
  <si>
    <t xml:space="preserve">Table 10 — Final Research Summary, synthesized from Tables 1-9. This is the recommended starting point for choosing an algorithmic approach.</t>
  </si>
  <si>
    <t xml:space="preserve">Summary Area</t>
  </si>
  <si>
    <t xml:space="preserve">Key Finding</t>
  </si>
  <si>
    <t xml:space="preserve">Most frequently used algorithms</t>
  </si>
  <si>
    <t xml:space="preserve">Ensemble tree-based methods (Random Forest, Gradient Boosting, XGBoost/LightGBM/CatBoost, AdaBoost) and LSTM/BiLSTM appear most often across demand-forecasting papers; CNN and YOLO-family object detectors dominate the computer-vision plate-waste subfield; Bayesian GAMs and simple linear regression appear in interpretability-focused institutional studies.</t>
  </si>
  <si>
    <t xml:space="preserve">Best-performing algorithms (as reported)</t>
  </si>
  <si>
    <t xml:space="preserve">LSTM was reported as the top performer in 2 of 3 direct head-to-head comparisons found (vs. SARIMA/Prophet, and vs. RF/GBR/LightGBM/XGBoost/CatBoost/BiLSTM). Negative-binomial Bayesian GAM was most robust for menu-item-level canteen/restaurant sales. Random Forest + AdaBoost ensemble was best for hostel-mess waste classification (F1 = 86.88%). Random Forest alone achieved R^2 = 0.817 on a leakage-controlled restaurant waste-prediction task. Caveat: accuracy figures are not directly comparable across papers — they use different datasets, targets, and metrics.</t>
  </si>
  <si>
    <t xml:space="preserve">Most commonly used datasets</t>
  </si>
  <si>
    <t xml:space="preserve">The Genpact 'Food Demand Forecasting' dataset (via AnalyticsVidhya/Kaggle) is the most-reused public benchmark, appearing in at least 2 of the reviewed papers plus several unreviewed GitHub implementations found during search. Beyond that, nearly every institutional canteen/hostel/cafeteria study uses a private, single-site dataset (POS records, mess logs, or custom plate-image collections), which is itself a major limitation (see Research Gaps).</t>
  </si>
  <si>
    <t xml:space="preserve">Most important input features</t>
  </si>
  <si>
    <t xml:space="preserve">Historical/lagged demand, day-of-week, holidays/special events, and menu item/diversity are the most consistently used and highest-impact features for demand forecasting. For waste specifically, attendance/footfall, operational area, and previous waste levels are the strongest reported drivers. Weather, price/promotion flags, and behavioral/attitudinal survey constructs are used less often but reported as meaningfully improving accuracy when included.</t>
  </si>
  <si>
    <t xml:space="preserve">Current research trends</t>
  </si>
  <si>
    <t xml:space="preserve">(1) A clear shift from single classical models toward ensemble and hybrid statistical-deep-learning approaches; (2) rapid iteration in computer-vision plate-waste detection (CNN -&gt; YOLOv4 -&gt; YOLOv11 -&gt; VLLM-based reasoning) between 2022 and 2026; (3) growing use of Explainable AI, though still rare and mostly confined to behavioral/survey-based studies; (4) early-stage integration of IoT + AI + blockchain into 'digital circular food system' frameworks; (5) increasing pairing of ML demand forecasting with sustainability/LCA evaluation of the models themselves.</t>
  </si>
  <si>
    <t xml:space="preserve">Open research challenges</t>
  </si>
  <si>
    <t xml:space="preserve">(1) Small, single-site, non-generalizable datasets dominate the field; (2) demand forecasting and waste prediction are rarely modeled jointly, despite being causally linked (over-forecast demand -&gt; overproduction -&gt; waste); (3) little cross-institution transfer-learning evidence exists; (4) computer-vision datasets suffer from class imbalance and limited real-world variability; (5) data-leakage risk is rarely checked explicitly (only one reviewed paper does formal leakage/ablation analysis); (6) standardized food-waste categorization/measurement protocols are still lacking, making cross-study comparison difficult.</t>
  </si>
  <si>
    <t xml:space="preserve">Relevance to the Smart Canteen Waste Predictor project</t>
  </si>
  <si>
    <t xml:space="preserve">The literature suggests a promising design direction: (a) use ensemble tree methods (Random Forest / Gradient Boosting) or LSTM as the core demand-forecasting model, informed by day-of-week, historical demand, holiday/event, and menu-diversity features; (b) optionally add a lightweight computer-vision plate-waste-estimation module if per-plate data collection is feasible; (c) explicitly test and report cross-day and, if possible, cross-institution generalization; (d) run an explicit leakage/ablation check on any feature that is mechanically derived from the target before reporting accuracy; (e) consider an interpretable model (Bayesian GAM or Decision Tree/Random Forest with XAI) if the eventual deployment audience needs to trust and act on individual predictions, not just aggregate accuracy.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</si>
</sst>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42"/>
    <col collapsed="false" customWidth="true" hidden="false" outlineLevel="0" max="9" min="9" style="0" width="34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42"/>
  </cols>
  <sheetData>
    <row r="1" customFormat="false" ht="15" hidden="false" customHeight="false" outlineLevel="0" collapsed="false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35.05" hidden="false" customHeight="false" outlineLevel="0" collapsed="false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</row>
    <row r="3" customFormat="false" ht="35.05" hidden="false" customHeight="false" outlineLevel="0" collapsed="false">
      <c r="A3" s="6" t="s">
        <v>36</v>
      </c>
      <c r="B3" s="6" t="s">
        <v>37</v>
      </c>
      <c r="C3" s="7" t="n">
        <v>2025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44</v>
      </c>
      <c r="K3" s="6" t="s">
        <v>45</v>
      </c>
      <c r="L3" s="6" t="s">
        <v>46</v>
      </c>
    </row>
    <row r="4" customFormat="false" ht="68.65" hidden="false" customHeight="false" outlineLevel="0" collapsed="false">
      <c r="A4" s="6" t="s">
        <v>47</v>
      </c>
      <c r="B4" s="6" t="s">
        <v>48</v>
      </c>
      <c r="C4" s="7" t="n">
        <v>2025</v>
      </c>
      <c r="D4" s="6" t="s">
        <v>49</v>
      </c>
      <c r="E4" s="6" t="s">
        <v>45</v>
      </c>
      <c r="F4" s="6" t="s">
        <v>50</v>
      </c>
      <c r="G4" s="6" t="s">
        <v>51</v>
      </c>
      <c r="H4" s="6" t="s">
        <v>52</v>
      </c>
      <c r="I4" s="6" t="s">
        <v>53</v>
      </c>
      <c r="J4" s="6" t="s">
        <v>54</v>
      </c>
      <c r="K4" s="6" t="s">
        <v>45</v>
      </c>
      <c r="L4" s="6" t="s">
        <v>55</v>
      </c>
    </row>
    <row r="5" customFormat="false" ht="35.05" hidden="false" customHeight="false" outlineLevel="0" collapsed="false">
      <c r="A5" s="6" t="s">
        <v>56</v>
      </c>
      <c r="B5" s="6" t="s">
        <v>57</v>
      </c>
      <c r="C5" s="7" t="n">
        <v>2024</v>
      </c>
      <c r="D5" s="6" t="s">
        <v>58</v>
      </c>
      <c r="E5" s="6" t="s">
        <v>59</v>
      </c>
      <c r="F5" s="6" t="s">
        <v>60</v>
      </c>
      <c r="G5" s="6" t="s">
        <v>61</v>
      </c>
      <c r="H5" s="6" t="s">
        <v>62</v>
      </c>
      <c r="I5" s="6" t="s">
        <v>63</v>
      </c>
      <c r="J5" s="6" t="s">
        <v>64</v>
      </c>
      <c r="K5" s="6" t="s">
        <v>45</v>
      </c>
      <c r="L5" s="6" t="s">
        <v>65</v>
      </c>
    </row>
    <row r="6" customFormat="false" ht="35.05" hidden="false" customHeight="false" outlineLevel="0" collapsed="false">
      <c r="A6" s="6" t="s">
        <v>66</v>
      </c>
      <c r="B6" s="6" t="s">
        <v>67</v>
      </c>
      <c r="C6" s="7" t="n">
        <v>2023</v>
      </c>
      <c r="D6" s="6" t="s">
        <v>68</v>
      </c>
      <c r="E6" s="6" t="s">
        <v>69</v>
      </c>
      <c r="F6" s="6" t="s">
        <v>70</v>
      </c>
      <c r="G6" s="6" t="s">
        <v>71</v>
      </c>
      <c r="H6" s="6" t="s">
        <v>72</v>
      </c>
      <c r="I6" s="6" t="s">
        <v>73</v>
      </c>
      <c r="J6" s="6" t="s">
        <v>73</v>
      </c>
      <c r="K6" s="6" t="s">
        <v>45</v>
      </c>
      <c r="L6" s="6" t="s">
        <v>74</v>
      </c>
    </row>
    <row r="7" customFormat="false" ht="35.05" hidden="false" customHeight="false" outlineLevel="0" collapsed="false">
      <c r="A7" s="6" t="s">
        <v>75</v>
      </c>
      <c r="B7" s="6" t="s">
        <v>48</v>
      </c>
      <c r="C7" s="7" t="n">
        <v>2026</v>
      </c>
      <c r="D7" s="6" t="s">
        <v>76</v>
      </c>
      <c r="E7" s="6" t="s">
        <v>77</v>
      </c>
      <c r="F7" s="6" t="s">
        <v>78</v>
      </c>
      <c r="G7" s="6" t="s">
        <v>41</v>
      </c>
      <c r="H7" s="6" t="s">
        <v>79</v>
      </c>
      <c r="I7" s="6" t="s">
        <v>80</v>
      </c>
      <c r="J7" s="6" t="s">
        <v>81</v>
      </c>
      <c r="K7" s="6" t="s">
        <v>45</v>
      </c>
      <c r="L7" s="6" t="s">
        <v>82</v>
      </c>
    </row>
    <row r="8" customFormat="false" ht="35.05" hidden="false" customHeight="false" outlineLevel="0" collapsed="false">
      <c r="A8" s="6" t="s">
        <v>83</v>
      </c>
      <c r="B8" s="6" t="s">
        <v>84</v>
      </c>
      <c r="C8" s="7" t="n">
        <v>2024</v>
      </c>
      <c r="D8" s="6" t="s">
        <v>85</v>
      </c>
      <c r="E8" s="6" t="s">
        <v>45</v>
      </c>
      <c r="F8" s="6" t="s">
        <v>86</v>
      </c>
      <c r="G8" s="6" t="s">
        <v>87</v>
      </c>
      <c r="H8" s="6" t="s">
        <v>88</v>
      </c>
      <c r="I8" s="6" t="s">
        <v>73</v>
      </c>
      <c r="J8" s="6" t="s">
        <v>73</v>
      </c>
      <c r="K8" s="6" t="s">
        <v>45</v>
      </c>
      <c r="L8" s="6" t="s">
        <v>89</v>
      </c>
    </row>
    <row r="9" customFormat="false" ht="57.45" hidden="false" customHeight="false" outlineLevel="0" collapsed="false">
      <c r="A9" s="6" t="s">
        <v>90</v>
      </c>
      <c r="B9" s="6" t="s">
        <v>48</v>
      </c>
      <c r="C9" s="7" t="n">
        <v>2021</v>
      </c>
      <c r="D9" s="6" t="s">
        <v>91</v>
      </c>
      <c r="E9" s="6" t="s">
        <v>45</v>
      </c>
      <c r="F9" s="6" t="s">
        <v>92</v>
      </c>
      <c r="G9" s="6" t="s">
        <v>93</v>
      </c>
      <c r="H9" s="6" t="s">
        <v>94</v>
      </c>
      <c r="I9" s="6" t="s">
        <v>95</v>
      </c>
      <c r="J9" s="6" t="s">
        <v>73</v>
      </c>
      <c r="K9" s="6" t="s">
        <v>45</v>
      </c>
      <c r="L9" s="6" t="s">
        <v>96</v>
      </c>
    </row>
    <row r="10" customFormat="false" ht="35.05" hidden="false" customHeight="false" outlineLevel="0" collapsed="false">
      <c r="A10" s="6" t="s">
        <v>97</v>
      </c>
      <c r="B10" s="6" t="s">
        <v>84</v>
      </c>
      <c r="C10" s="7" t="n">
        <v>2023</v>
      </c>
      <c r="D10" s="6" t="s">
        <v>98</v>
      </c>
      <c r="E10" s="6" t="s">
        <v>45</v>
      </c>
      <c r="F10" s="6" t="s">
        <v>99</v>
      </c>
      <c r="G10" s="6" t="s">
        <v>87</v>
      </c>
      <c r="H10" s="6" t="s">
        <v>100</v>
      </c>
      <c r="I10" s="6" t="s">
        <v>101</v>
      </c>
      <c r="J10" s="6" t="s">
        <v>73</v>
      </c>
      <c r="K10" s="6" t="s">
        <v>45</v>
      </c>
      <c r="L10" s="6" t="s">
        <v>102</v>
      </c>
    </row>
    <row r="11" customFormat="false" ht="35.05" hidden="false" customHeight="false" outlineLevel="0" collapsed="false">
      <c r="A11" s="6" t="s">
        <v>103</v>
      </c>
      <c r="B11" s="6" t="s">
        <v>104</v>
      </c>
      <c r="C11" s="7" t="n">
        <v>2026</v>
      </c>
      <c r="D11" s="6" t="s">
        <v>105</v>
      </c>
      <c r="E11" s="6" t="s">
        <v>106</v>
      </c>
      <c r="F11" s="6" t="s">
        <v>107</v>
      </c>
      <c r="G11" s="6" t="s">
        <v>61</v>
      </c>
      <c r="H11" s="6" t="s">
        <v>108</v>
      </c>
      <c r="I11" s="6" t="s">
        <v>109</v>
      </c>
      <c r="J11" s="6" t="s">
        <v>110</v>
      </c>
      <c r="K11" s="6" t="s">
        <v>45</v>
      </c>
      <c r="L11" s="6" t="s">
        <v>111</v>
      </c>
    </row>
    <row r="12" customFormat="false" ht="35.05" hidden="false" customHeight="false" outlineLevel="0" collapsed="false">
      <c r="A12" s="6" t="s">
        <v>112</v>
      </c>
      <c r="B12" s="6" t="s">
        <v>113</v>
      </c>
      <c r="C12" s="7" t="n">
        <v>2021</v>
      </c>
      <c r="D12" s="6" t="s">
        <v>114</v>
      </c>
      <c r="E12" s="6" t="s">
        <v>115</v>
      </c>
      <c r="F12" s="6" t="s">
        <v>116</v>
      </c>
      <c r="G12" s="6" t="s">
        <v>117</v>
      </c>
      <c r="H12" s="6" t="s">
        <v>118</v>
      </c>
      <c r="I12" s="6" t="s">
        <v>119</v>
      </c>
      <c r="J12" s="6" t="s">
        <v>120</v>
      </c>
      <c r="K12" s="6" t="s">
        <v>45</v>
      </c>
      <c r="L12" s="6" t="s">
        <v>121</v>
      </c>
    </row>
    <row r="13" customFormat="false" ht="35.05" hidden="false" customHeight="false" outlineLevel="0" collapsed="false">
      <c r="A13" s="6" t="s">
        <v>122</v>
      </c>
      <c r="B13" s="6" t="s">
        <v>84</v>
      </c>
      <c r="C13" s="7" t="n">
        <v>2020</v>
      </c>
      <c r="D13" s="6" t="s">
        <v>85</v>
      </c>
      <c r="E13" s="6" t="s">
        <v>45</v>
      </c>
      <c r="F13" s="6" t="s">
        <v>123</v>
      </c>
      <c r="G13" s="6" t="s">
        <v>87</v>
      </c>
      <c r="H13" s="6" t="s">
        <v>124</v>
      </c>
      <c r="I13" s="6" t="s">
        <v>125</v>
      </c>
      <c r="J13" s="6" t="s">
        <v>73</v>
      </c>
      <c r="K13" s="6" t="s">
        <v>45</v>
      </c>
      <c r="L13" s="6" t="s">
        <v>126</v>
      </c>
    </row>
    <row r="14" customFormat="false" ht="35.05" hidden="false" customHeight="false" outlineLevel="0" collapsed="false">
      <c r="A14" s="6" t="s">
        <v>127</v>
      </c>
      <c r="B14" s="6" t="s">
        <v>84</v>
      </c>
      <c r="C14" s="7" t="n">
        <v>2025</v>
      </c>
      <c r="D14" s="6" t="s">
        <v>128</v>
      </c>
      <c r="E14" s="6" t="s">
        <v>69</v>
      </c>
      <c r="F14" s="6" t="s">
        <v>129</v>
      </c>
      <c r="G14" s="6" t="s">
        <v>71</v>
      </c>
      <c r="H14" s="6" t="s">
        <v>130</v>
      </c>
      <c r="I14" s="6" t="s">
        <v>131</v>
      </c>
      <c r="J14" s="6" t="s">
        <v>132</v>
      </c>
      <c r="K14" s="6" t="s">
        <v>45</v>
      </c>
      <c r="L14" s="6" t="s">
        <v>133</v>
      </c>
    </row>
    <row r="15" customFormat="false" ht="35.05" hidden="false" customHeight="false" outlineLevel="0" collapsed="false">
      <c r="A15" s="6" t="s">
        <v>134</v>
      </c>
      <c r="B15" s="6" t="s">
        <v>84</v>
      </c>
      <c r="C15" s="7" t="n">
        <v>2026</v>
      </c>
      <c r="D15" s="6" t="s">
        <v>135</v>
      </c>
      <c r="E15" s="6" t="s">
        <v>136</v>
      </c>
      <c r="F15" s="6" t="s">
        <v>137</v>
      </c>
      <c r="G15" s="6" t="s">
        <v>138</v>
      </c>
      <c r="H15" s="6" t="s">
        <v>139</v>
      </c>
      <c r="I15" s="6" t="s">
        <v>140</v>
      </c>
      <c r="J15" s="6" t="s">
        <v>73</v>
      </c>
      <c r="K15" s="6" t="s">
        <v>45</v>
      </c>
      <c r="L15" s="6" t="s">
        <v>141</v>
      </c>
    </row>
    <row r="16" customFormat="false" ht="23.85" hidden="false" customHeight="false" outlineLevel="0" collapsed="false">
      <c r="A16" s="6" t="s">
        <v>142</v>
      </c>
      <c r="B16" s="6" t="s">
        <v>84</v>
      </c>
      <c r="C16" s="7" t="n">
        <v>2022</v>
      </c>
      <c r="D16" s="6" t="s">
        <v>143</v>
      </c>
      <c r="E16" s="6" t="s">
        <v>144</v>
      </c>
      <c r="F16" s="6" t="s">
        <v>145</v>
      </c>
      <c r="G16" s="6" t="s">
        <v>41</v>
      </c>
      <c r="H16" s="6" t="s">
        <v>146</v>
      </c>
      <c r="I16" s="6" t="s">
        <v>147</v>
      </c>
      <c r="J16" s="6" t="s">
        <v>73</v>
      </c>
      <c r="K16" s="6" t="s">
        <v>45</v>
      </c>
      <c r="L16" s="6" t="s">
        <v>148</v>
      </c>
    </row>
    <row r="17" customFormat="false" ht="35.05" hidden="false" customHeight="false" outlineLevel="0" collapsed="false">
      <c r="A17" s="6" t="s">
        <v>149</v>
      </c>
      <c r="B17" s="6" t="s">
        <v>150</v>
      </c>
      <c r="C17" s="7" t="n">
        <v>2025</v>
      </c>
      <c r="D17" s="6" t="s">
        <v>151</v>
      </c>
      <c r="E17" s="6" t="s">
        <v>152</v>
      </c>
      <c r="F17" s="6" t="s">
        <v>153</v>
      </c>
      <c r="G17" s="6" t="s">
        <v>41</v>
      </c>
      <c r="H17" s="6" t="s">
        <v>154</v>
      </c>
      <c r="I17" s="6" t="s">
        <v>155</v>
      </c>
      <c r="J17" s="6" t="s">
        <v>73</v>
      </c>
      <c r="K17" s="6" t="s">
        <v>45</v>
      </c>
      <c r="L17" s="6" t="s">
        <v>156</v>
      </c>
    </row>
    <row r="18" customFormat="false" ht="23.85" hidden="false" customHeight="false" outlineLevel="0" collapsed="false">
      <c r="A18" s="6" t="s">
        <v>157</v>
      </c>
      <c r="B18" s="6" t="s">
        <v>84</v>
      </c>
      <c r="C18" s="7" t="n">
        <v>2024</v>
      </c>
      <c r="D18" s="6" t="s">
        <v>158</v>
      </c>
      <c r="E18" s="6" t="s">
        <v>159</v>
      </c>
      <c r="F18" s="6" t="s">
        <v>160</v>
      </c>
      <c r="G18" s="6" t="s">
        <v>138</v>
      </c>
      <c r="H18" s="6" t="s">
        <v>161</v>
      </c>
      <c r="I18" s="6" t="s">
        <v>162</v>
      </c>
      <c r="J18" s="6" t="s">
        <v>163</v>
      </c>
      <c r="K18" s="6" t="s">
        <v>45</v>
      </c>
      <c r="L18" s="6" t="s">
        <v>164</v>
      </c>
    </row>
    <row r="19" customFormat="false" ht="23.85" hidden="false" customHeight="false" outlineLevel="0" collapsed="false">
      <c r="A19" s="6" t="s">
        <v>165</v>
      </c>
      <c r="B19" s="6" t="s">
        <v>84</v>
      </c>
      <c r="C19" s="7" t="n">
        <v>2024</v>
      </c>
      <c r="D19" s="6" t="s">
        <v>166</v>
      </c>
      <c r="E19" s="6" t="s">
        <v>167</v>
      </c>
      <c r="F19" s="6" t="s">
        <v>168</v>
      </c>
      <c r="G19" s="6" t="s">
        <v>169</v>
      </c>
      <c r="H19" s="6" t="s">
        <v>170</v>
      </c>
      <c r="I19" s="6" t="s">
        <v>171</v>
      </c>
      <c r="J19" s="6" t="s">
        <v>73</v>
      </c>
      <c r="K19" s="6" t="s">
        <v>45</v>
      </c>
      <c r="L19" s="6" t="s">
        <v>172</v>
      </c>
    </row>
    <row r="20" customFormat="false" ht="35.05" hidden="false" customHeight="false" outlineLevel="0" collapsed="false">
      <c r="A20" s="6" t="s">
        <v>173</v>
      </c>
      <c r="B20" s="6" t="s">
        <v>84</v>
      </c>
      <c r="C20" s="7" t="n">
        <v>2025</v>
      </c>
      <c r="D20" s="6" t="s">
        <v>166</v>
      </c>
      <c r="E20" s="6" t="s">
        <v>174</v>
      </c>
      <c r="F20" s="6" t="s">
        <v>175</v>
      </c>
      <c r="G20" s="6" t="s">
        <v>169</v>
      </c>
      <c r="H20" s="6" t="s">
        <v>176</v>
      </c>
      <c r="I20" s="6" t="s">
        <v>177</v>
      </c>
      <c r="J20" s="6" t="s">
        <v>73</v>
      </c>
      <c r="K20" s="6" t="s">
        <v>45</v>
      </c>
      <c r="L20" s="6" t="s">
        <v>178</v>
      </c>
    </row>
    <row r="21" customFormat="false" ht="35.05" hidden="false" customHeight="false" outlineLevel="0" collapsed="false">
      <c r="A21" s="6" t="s">
        <v>179</v>
      </c>
      <c r="B21" s="6" t="s">
        <v>84</v>
      </c>
      <c r="C21" s="7" t="n">
        <v>2026</v>
      </c>
      <c r="D21" s="6" t="s">
        <v>166</v>
      </c>
      <c r="E21" s="6" t="s">
        <v>180</v>
      </c>
      <c r="F21" s="6" t="s">
        <v>181</v>
      </c>
      <c r="G21" s="6" t="s">
        <v>169</v>
      </c>
      <c r="H21" s="6" t="s">
        <v>182</v>
      </c>
      <c r="I21" s="6" t="s">
        <v>183</v>
      </c>
      <c r="J21" s="6" t="s">
        <v>73</v>
      </c>
      <c r="K21" s="6" t="s">
        <v>45</v>
      </c>
      <c r="L21" s="6" t="s">
        <v>184</v>
      </c>
    </row>
    <row r="22" customFormat="false" ht="57.45" hidden="false" customHeight="false" outlineLevel="0" collapsed="false">
      <c r="A22" s="6" t="s">
        <v>185</v>
      </c>
      <c r="B22" s="6" t="s">
        <v>48</v>
      </c>
      <c r="C22" s="7" t="n">
        <v>2023</v>
      </c>
      <c r="D22" s="6" t="s">
        <v>186</v>
      </c>
      <c r="E22" s="6" t="s">
        <v>187</v>
      </c>
      <c r="F22" s="6" t="s">
        <v>188</v>
      </c>
      <c r="G22" s="6" t="s">
        <v>51</v>
      </c>
      <c r="H22" s="6" t="s">
        <v>189</v>
      </c>
      <c r="I22" s="6" t="s">
        <v>190</v>
      </c>
      <c r="J22" s="6" t="s">
        <v>191</v>
      </c>
      <c r="K22" s="6" t="s">
        <v>45</v>
      </c>
      <c r="L22" s="6" t="s">
        <v>192</v>
      </c>
    </row>
    <row r="23" customFormat="false" ht="35.05" hidden="false" customHeight="false" outlineLevel="0" collapsed="false">
      <c r="A23" s="6" t="s">
        <v>193</v>
      </c>
      <c r="B23" s="6" t="s">
        <v>84</v>
      </c>
      <c r="C23" s="7" t="n">
        <v>2023</v>
      </c>
      <c r="D23" s="6" t="s">
        <v>194</v>
      </c>
      <c r="E23" s="6" t="s">
        <v>195</v>
      </c>
      <c r="F23" s="6" t="s">
        <v>196</v>
      </c>
      <c r="G23" s="6" t="s">
        <v>41</v>
      </c>
      <c r="H23" s="6" t="s">
        <v>197</v>
      </c>
      <c r="I23" s="6" t="s">
        <v>131</v>
      </c>
      <c r="J23" s="6" t="s">
        <v>132</v>
      </c>
      <c r="K23" s="6" t="s">
        <v>45</v>
      </c>
      <c r="L23" s="6" t="s">
        <v>198</v>
      </c>
    </row>
    <row r="24" customFormat="false" ht="35.05" hidden="false" customHeight="false" outlineLevel="0" collapsed="false">
      <c r="A24" s="6" t="s">
        <v>199</v>
      </c>
      <c r="B24" s="6" t="s">
        <v>84</v>
      </c>
      <c r="C24" s="7" t="n">
        <v>2024</v>
      </c>
      <c r="D24" s="6" t="s">
        <v>200</v>
      </c>
      <c r="E24" s="6" t="s">
        <v>201</v>
      </c>
      <c r="F24" s="6" t="s">
        <v>202</v>
      </c>
      <c r="G24" s="6" t="s">
        <v>203</v>
      </c>
      <c r="H24" s="6" t="s">
        <v>204</v>
      </c>
      <c r="I24" s="6" t="s">
        <v>131</v>
      </c>
      <c r="J24" s="6" t="s">
        <v>132</v>
      </c>
      <c r="K24" s="6" t="s">
        <v>45</v>
      </c>
      <c r="L24" s="6" t="s">
        <v>205</v>
      </c>
    </row>
    <row r="25" customFormat="false" ht="35.05" hidden="false" customHeight="false" outlineLevel="0" collapsed="false">
      <c r="A25" s="6" t="s">
        <v>206</v>
      </c>
      <c r="B25" s="6" t="s">
        <v>84</v>
      </c>
      <c r="C25" s="7" t="n">
        <v>2025</v>
      </c>
      <c r="D25" s="6" t="s">
        <v>207</v>
      </c>
      <c r="E25" s="6" t="s">
        <v>69</v>
      </c>
      <c r="F25" s="6" t="s">
        <v>208</v>
      </c>
      <c r="G25" s="6" t="s">
        <v>209</v>
      </c>
      <c r="H25" s="6" t="s">
        <v>210</v>
      </c>
      <c r="I25" s="6" t="s">
        <v>211</v>
      </c>
      <c r="J25" s="6" t="s">
        <v>132</v>
      </c>
      <c r="K25" s="6" t="s">
        <v>45</v>
      </c>
      <c r="L25" s="6" t="s">
        <v>212</v>
      </c>
    </row>
    <row r="26" customFormat="false" ht="35.05" hidden="false" customHeight="false" outlineLevel="0" collapsed="false">
      <c r="A26" s="6" t="s">
        <v>213</v>
      </c>
      <c r="B26" s="6" t="s">
        <v>84</v>
      </c>
      <c r="C26" s="7" t="n">
        <v>2025</v>
      </c>
      <c r="D26" s="6" t="s">
        <v>214</v>
      </c>
      <c r="E26" s="6" t="s">
        <v>69</v>
      </c>
      <c r="F26" s="6" t="s">
        <v>215</v>
      </c>
      <c r="G26" s="6" t="s">
        <v>41</v>
      </c>
      <c r="H26" s="6" t="s">
        <v>216</v>
      </c>
      <c r="I26" s="6" t="s">
        <v>131</v>
      </c>
      <c r="J26" s="6" t="s">
        <v>132</v>
      </c>
      <c r="K26" s="6" t="s">
        <v>45</v>
      </c>
      <c r="L26" s="6" t="s">
        <v>217</v>
      </c>
    </row>
    <row r="27" customFormat="false" ht="35.05" hidden="false" customHeight="false" outlineLevel="0" collapsed="false">
      <c r="A27" s="6" t="s">
        <v>218</v>
      </c>
      <c r="B27" s="6" t="s">
        <v>84</v>
      </c>
      <c r="C27" s="7" t="n">
        <v>2026</v>
      </c>
      <c r="D27" s="6" t="s">
        <v>219</v>
      </c>
      <c r="E27" s="6" t="s">
        <v>220</v>
      </c>
      <c r="F27" s="6" t="s">
        <v>221</v>
      </c>
      <c r="G27" s="6" t="s">
        <v>203</v>
      </c>
      <c r="H27" s="6" t="s">
        <v>222</v>
      </c>
      <c r="I27" s="6" t="s">
        <v>223</v>
      </c>
      <c r="J27" s="6" t="s">
        <v>132</v>
      </c>
      <c r="K27" s="6" t="s">
        <v>45</v>
      </c>
      <c r="L27" s="6" t="s">
        <v>224</v>
      </c>
    </row>
    <row r="28" customFormat="false" ht="35.05" hidden="false" customHeight="false" outlineLevel="0" collapsed="false">
      <c r="A28" s="6" t="s">
        <v>225</v>
      </c>
      <c r="B28" s="6" t="s">
        <v>84</v>
      </c>
      <c r="C28" s="7" t="n">
        <v>2020</v>
      </c>
      <c r="D28" s="6" t="s">
        <v>166</v>
      </c>
      <c r="E28" s="6" t="s">
        <v>226</v>
      </c>
      <c r="F28" s="6" t="s">
        <v>227</v>
      </c>
      <c r="G28" s="6" t="s">
        <v>169</v>
      </c>
      <c r="H28" s="6" t="s">
        <v>228</v>
      </c>
      <c r="I28" s="6" t="s">
        <v>229</v>
      </c>
      <c r="J28" s="6" t="s">
        <v>230</v>
      </c>
      <c r="K28" s="6" t="s">
        <v>45</v>
      </c>
      <c r="L28" s="6" t="s">
        <v>231</v>
      </c>
    </row>
    <row r="29" customFormat="false" ht="35.05" hidden="false" customHeight="false" outlineLevel="0" collapsed="false">
      <c r="A29" s="6" t="s">
        <v>232</v>
      </c>
      <c r="B29" s="6" t="s">
        <v>84</v>
      </c>
      <c r="C29" s="7" t="n">
        <v>2025</v>
      </c>
      <c r="D29" s="6" t="s">
        <v>233</v>
      </c>
      <c r="E29" s="6" t="s">
        <v>69</v>
      </c>
      <c r="F29" s="6" t="s">
        <v>234</v>
      </c>
      <c r="G29" s="6" t="s">
        <v>235</v>
      </c>
      <c r="H29" s="6" t="s">
        <v>236</v>
      </c>
      <c r="I29" s="6" t="s">
        <v>237</v>
      </c>
      <c r="J29" s="6" t="s">
        <v>238</v>
      </c>
      <c r="K29" s="6" t="s">
        <v>45</v>
      </c>
      <c r="L29" s="6" t="s">
        <v>239</v>
      </c>
    </row>
    <row r="30" customFormat="false" ht="23.85" hidden="false" customHeight="false" outlineLevel="0" collapsed="false">
      <c r="A30" s="6" t="s">
        <v>240</v>
      </c>
      <c r="B30" s="6" t="s">
        <v>84</v>
      </c>
      <c r="C30" s="7" t="n">
        <v>2020</v>
      </c>
      <c r="D30" s="6" t="s">
        <v>241</v>
      </c>
      <c r="E30" s="6" t="s">
        <v>45</v>
      </c>
      <c r="F30" s="6" t="s">
        <v>242</v>
      </c>
      <c r="G30" s="6" t="s">
        <v>243</v>
      </c>
      <c r="H30" s="6" t="s">
        <v>244</v>
      </c>
      <c r="I30" s="6" t="s">
        <v>245</v>
      </c>
      <c r="J30" s="6" t="s">
        <v>73</v>
      </c>
      <c r="K30" s="6" t="s">
        <v>45</v>
      </c>
      <c r="L30" s="6" t="s">
        <v>246</v>
      </c>
    </row>
    <row r="31" customFormat="false" ht="35.05" hidden="false" customHeight="false" outlineLevel="0" collapsed="false">
      <c r="A31" s="6" t="s">
        <v>247</v>
      </c>
      <c r="B31" s="6" t="s">
        <v>84</v>
      </c>
      <c r="C31" s="7" t="n">
        <v>2023</v>
      </c>
      <c r="D31" s="6" t="s">
        <v>248</v>
      </c>
      <c r="E31" s="6" t="s">
        <v>45</v>
      </c>
      <c r="F31" s="6" t="s">
        <v>249</v>
      </c>
      <c r="G31" s="6" t="s">
        <v>250</v>
      </c>
      <c r="H31" s="6" t="s">
        <v>251</v>
      </c>
      <c r="I31" s="6" t="s">
        <v>252</v>
      </c>
      <c r="J31" s="6" t="s">
        <v>238</v>
      </c>
      <c r="K31" s="6" t="s">
        <v>45</v>
      </c>
      <c r="L31" s="6" t="s">
        <v>253</v>
      </c>
    </row>
    <row r="32" customFormat="false" ht="35.05" hidden="false" customHeight="false" outlineLevel="0" collapsed="false">
      <c r="A32" s="6" t="s">
        <v>254</v>
      </c>
      <c r="B32" s="6" t="s">
        <v>84</v>
      </c>
      <c r="C32" s="7" t="n">
        <v>2021</v>
      </c>
      <c r="D32" s="6" t="s">
        <v>255</v>
      </c>
      <c r="E32" s="6" t="s">
        <v>256</v>
      </c>
      <c r="F32" s="6" t="s">
        <v>257</v>
      </c>
      <c r="G32" s="6" t="s">
        <v>71</v>
      </c>
      <c r="H32" s="6" t="s">
        <v>258</v>
      </c>
      <c r="I32" s="6" t="s">
        <v>259</v>
      </c>
      <c r="J32" s="6" t="s">
        <v>73</v>
      </c>
      <c r="K32" s="6" t="s">
        <v>45</v>
      </c>
      <c r="L32" s="6" t="s">
        <v>260</v>
      </c>
    </row>
    <row r="33" customFormat="false" ht="35.05" hidden="false" customHeight="false" outlineLevel="0" collapsed="false">
      <c r="A33" s="6" t="s">
        <v>261</v>
      </c>
      <c r="B33" s="6" t="s">
        <v>262</v>
      </c>
      <c r="C33" s="7" t="n">
        <v>2026</v>
      </c>
      <c r="D33" s="6" t="s">
        <v>263</v>
      </c>
      <c r="E33" s="6" t="s">
        <v>264</v>
      </c>
      <c r="F33" s="6" t="s">
        <v>265</v>
      </c>
      <c r="G33" s="6" t="s">
        <v>138</v>
      </c>
      <c r="H33" s="6" t="s">
        <v>266</v>
      </c>
      <c r="I33" s="6" t="s">
        <v>267</v>
      </c>
      <c r="J33" s="6" t="s">
        <v>268</v>
      </c>
      <c r="K33" s="6" t="s">
        <v>45</v>
      </c>
      <c r="L33" s="6" t="s">
        <v>269</v>
      </c>
    </row>
    <row r="34" customFormat="false" ht="35.05" hidden="false" customHeight="false" outlineLevel="0" collapsed="false">
      <c r="A34" s="6" t="s">
        <v>270</v>
      </c>
      <c r="B34" s="6" t="s">
        <v>271</v>
      </c>
      <c r="C34" s="7" t="n">
        <v>2023</v>
      </c>
      <c r="D34" s="6" t="s">
        <v>272</v>
      </c>
      <c r="E34" s="6" t="s">
        <v>45</v>
      </c>
      <c r="F34" s="6" t="s">
        <v>273</v>
      </c>
      <c r="G34" s="6" t="s">
        <v>274</v>
      </c>
      <c r="H34" s="6" t="s">
        <v>275</v>
      </c>
      <c r="I34" s="6" t="s">
        <v>276</v>
      </c>
      <c r="J34" s="6" t="s">
        <v>277</v>
      </c>
      <c r="K34" s="6" t="s">
        <v>45</v>
      </c>
      <c r="L34" s="6" t="s">
        <v>278</v>
      </c>
    </row>
    <row r="35" customFormat="false" ht="35.05" hidden="false" customHeight="false" outlineLevel="0" collapsed="false">
      <c r="A35" s="6" t="s">
        <v>279</v>
      </c>
      <c r="B35" s="6" t="s">
        <v>280</v>
      </c>
      <c r="C35" s="7" t="n">
        <v>2021</v>
      </c>
      <c r="D35" s="6" t="s">
        <v>281</v>
      </c>
      <c r="E35" s="6" t="s">
        <v>282</v>
      </c>
      <c r="F35" s="6" t="s">
        <v>283</v>
      </c>
      <c r="G35" s="6" t="s">
        <v>284</v>
      </c>
      <c r="H35" s="6" t="s">
        <v>285</v>
      </c>
      <c r="I35" s="6" t="s">
        <v>286</v>
      </c>
      <c r="J35" s="6" t="s">
        <v>287</v>
      </c>
      <c r="K35" s="6" t="s">
        <v>45</v>
      </c>
      <c r="L35" s="6" t="s">
        <v>288</v>
      </c>
    </row>
    <row r="36" customFormat="false" ht="23.85" hidden="false" customHeight="false" outlineLevel="0" collapsed="false">
      <c r="A36" s="6" t="s">
        <v>289</v>
      </c>
      <c r="B36" s="6" t="s">
        <v>84</v>
      </c>
      <c r="C36" s="7" t="n">
        <v>2023</v>
      </c>
      <c r="D36" s="6" t="s">
        <v>290</v>
      </c>
      <c r="E36" s="6" t="s">
        <v>291</v>
      </c>
      <c r="F36" s="6" t="s">
        <v>292</v>
      </c>
      <c r="G36" s="6" t="s">
        <v>41</v>
      </c>
      <c r="H36" s="6" t="s">
        <v>293</v>
      </c>
      <c r="I36" s="6" t="s">
        <v>294</v>
      </c>
      <c r="J36" s="6" t="s">
        <v>132</v>
      </c>
      <c r="K36" s="6" t="s">
        <v>45</v>
      </c>
      <c r="L36" s="6" t="s">
        <v>295</v>
      </c>
    </row>
    <row r="37" customFormat="false" ht="23.85" hidden="false" customHeight="false" outlineLevel="0" collapsed="false">
      <c r="A37" s="6" t="s">
        <v>296</v>
      </c>
      <c r="B37" s="6" t="s">
        <v>84</v>
      </c>
      <c r="C37" s="7" t="n">
        <v>2026</v>
      </c>
      <c r="D37" s="6" t="s">
        <v>128</v>
      </c>
      <c r="E37" s="6" t="s">
        <v>69</v>
      </c>
      <c r="F37" s="6" t="s">
        <v>297</v>
      </c>
      <c r="G37" s="6" t="s">
        <v>71</v>
      </c>
      <c r="H37" s="6" t="s">
        <v>298</v>
      </c>
      <c r="I37" s="6" t="s">
        <v>131</v>
      </c>
      <c r="J37" s="6" t="s">
        <v>132</v>
      </c>
      <c r="K37" s="6" t="s">
        <v>45</v>
      </c>
      <c r="L37" s="6" t="s">
        <v>299</v>
      </c>
    </row>
    <row r="38" customFormat="false" ht="35.05" hidden="false" customHeight="false" outlineLevel="0" collapsed="false">
      <c r="A38" s="6" t="s">
        <v>300</v>
      </c>
      <c r="B38" s="6" t="s">
        <v>84</v>
      </c>
      <c r="C38" s="7" t="n">
        <v>2022</v>
      </c>
      <c r="D38" s="6" t="s">
        <v>166</v>
      </c>
      <c r="E38" s="6" t="s">
        <v>301</v>
      </c>
      <c r="F38" s="6" t="s">
        <v>302</v>
      </c>
      <c r="G38" s="6" t="s">
        <v>169</v>
      </c>
      <c r="H38" s="6" t="s">
        <v>303</v>
      </c>
      <c r="I38" s="6" t="s">
        <v>304</v>
      </c>
      <c r="J38" s="6" t="s">
        <v>132</v>
      </c>
      <c r="K38" s="6" t="s">
        <v>45</v>
      </c>
      <c r="L38" s="6" t="s">
        <v>305</v>
      </c>
    </row>
    <row r="39" customFormat="false" ht="35.05" hidden="false" customHeight="false" outlineLevel="0" collapsed="false">
      <c r="A39" s="6" t="s">
        <v>306</v>
      </c>
      <c r="B39" s="6" t="s">
        <v>84</v>
      </c>
      <c r="C39" s="7" t="n">
        <v>2025</v>
      </c>
      <c r="D39" s="6" t="s">
        <v>307</v>
      </c>
      <c r="E39" s="6" t="s">
        <v>69</v>
      </c>
      <c r="F39" s="6" t="s">
        <v>308</v>
      </c>
      <c r="G39" s="6" t="s">
        <v>209</v>
      </c>
      <c r="H39" s="6" t="s">
        <v>309</v>
      </c>
      <c r="I39" s="6" t="s">
        <v>310</v>
      </c>
      <c r="J39" s="6" t="s">
        <v>73</v>
      </c>
      <c r="K39" s="6" t="s">
        <v>45</v>
      </c>
      <c r="L39" s="6" t="s">
        <v>311</v>
      </c>
    </row>
    <row r="40" customFormat="false" ht="57.45" hidden="false" customHeight="false" outlineLevel="0" collapsed="false">
      <c r="A40" s="6" t="s">
        <v>312</v>
      </c>
      <c r="B40" s="6" t="s">
        <v>84</v>
      </c>
      <c r="C40" s="7" t="n">
        <v>2023</v>
      </c>
      <c r="D40" s="6" t="s">
        <v>313</v>
      </c>
      <c r="E40" s="6" t="s">
        <v>45</v>
      </c>
      <c r="F40" s="6" t="s">
        <v>314</v>
      </c>
      <c r="G40" s="6" t="s">
        <v>315</v>
      </c>
      <c r="H40" s="6" t="s">
        <v>316</v>
      </c>
      <c r="I40" s="6" t="s">
        <v>317</v>
      </c>
      <c r="J40" s="6" t="s">
        <v>318</v>
      </c>
      <c r="K40" s="6" t="s">
        <v>45</v>
      </c>
      <c r="L40" s="6" t="s">
        <v>319</v>
      </c>
    </row>
    <row r="41" customFormat="false" ht="35.05" hidden="false" customHeight="false" outlineLevel="0" collapsed="false">
      <c r="A41" s="6" t="s">
        <v>320</v>
      </c>
      <c r="B41" s="6" t="s">
        <v>84</v>
      </c>
      <c r="C41" s="7" t="n">
        <v>2024</v>
      </c>
      <c r="D41" s="6" t="s">
        <v>166</v>
      </c>
      <c r="E41" s="6" t="s">
        <v>321</v>
      </c>
      <c r="F41" s="6" t="s">
        <v>322</v>
      </c>
      <c r="G41" s="6" t="s">
        <v>169</v>
      </c>
      <c r="H41" s="6" t="s">
        <v>323</v>
      </c>
      <c r="I41" s="6" t="s">
        <v>324</v>
      </c>
      <c r="J41" s="6" t="s">
        <v>73</v>
      </c>
      <c r="K41" s="6" t="s">
        <v>45</v>
      </c>
      <c r="L41" s="6" t="s">
        <v>325</v>
      </c>
    </row>
  </sheetData>
  <autoFilter ref="A2:L2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10" min="9" style="0" width="34"/>
  </cols>
  <sheetData>
    <row r="1" customFormat="false" ht="15" hidden="false" customHeight="false" outlineLevel="0" collapsed="false">
      <c r="A1" s="4" t="s">
        <v>326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5" t="s">
        <v>327</v>
      </c>
      <c r="B2" s="5" t="s">
        <v>328</v>
      </c>
      <c r="C2" s="5" t="s">
        <v>329</v>
      </c>
      <c r="D2" s="5" t="s">
        <v>330</v>
      </c>
      <c r="E2" s="5" t="s">
        <v>331</v>
      </c>
      <c r="F2" s="5" t="s">
        <v>332</v>
      </c>
      <c r="G2" s="5" t="s">
        <v>333</v>
      </c>
      <c r="H2" s="5" t="s">
        <v>334</v>
      </c>
      <c r="I2" s="5" t="s">
        <v>335</v>
      </c>
      <c r="J2" s="5" t="s">
        <v>336</v>
      </c>
    </row>
    <row r="3" customFormat="false" ht="35.05" hidden="false" customHeight="false" outlineLevel="0" collapsed="false">
      <c r="A3" s="6" t="s">
        <v>337</v>
      </c>
      <c r="B3" s="6" t="s">
        <v>338</v>
      </c>
      <c r="C3" s="6" t="s">
        <v>339</v>
      </c>
      <c r="D3" s="6" t="s">
        <v>340</v>
      </c>
      <c r="E3" s="6" t="s">
        <v>341</v>
      </c>
      <c r="F3" s="6" t="s">
        <v>342</v>
      </c>
      <c r="G3" s="6" t="s">
        <v>343</v>
      </c>
      <c r="H3" s="6" t="s">
        <v>344</v>
      </c>
      <c r="I3" s="6" t="s">
        <v>345</v>
      </c>
      <c r="J3" s="6" t="s">
        <v>346</v>
      </c>
    </row>
    <row r="4" customFormat="false" ht="23.85" hidden="false" customHeight="false" outlineLevel="0" collapsed="false">
      <c r="A4" s="6" t="s">
        <v>347</v>
      </c>
      <c r="B4" s="6" t="s">
        <v>348</v>
      </c>
      <c r="C4" s="6" t="s">
        <v>349</v>
      </c>
      <c r="D4" s="6" t="s">
        <v>350</v>
      </c>
      <c r="E4" s="6" t="s">
        <v>351</v>
      </c>
      <c r="F4" s="6" t="s">
        <v>352</v>
      </c>
      <c r="G4" s="6" t="s">
        <v>353</v>
      </c>
      <c r="H4" s="6" t="s">
        <v>354</v>
      </c>
      <c r="I4" s="6" t="s">
        <v>355</v>
      </c>
      <c r="J4" s="6" t="s">
        <v>356</v>
      </c>
    </row>
    <row r="5" customFormat="false" ht="23.85" hidden="false" customHeight="false" outlineLevel="0" collapsed="false">
      <c r="A5" s="6" t="s">
        <v>347</v>
      </c>
      <c r="B5" s="6" t="s">
        <v>348</v>
      </c>
      <c r="C5" s="6" t="s">
        <v>357</v>
      </c>
      <c r="D5" s="6" t="s">
        <v>358</v>
      </c>
      <c r="E5" s="6" t="s">
        <v>351</v>
      </c>
      <c r="F5" s="6" t="s">
        <v>352</v>
      </c>
      <c r="G5" s="6" t="s">
        <v>353</v>
      </c>
      <c r="H5" s="6" t="s">
        <v>359</v>
      </c>
      <c r="I5" s="6" t="s">
        <v>360</v>
      </c>
      <c r="J5" s="6" t="s">
        <v>361</v>
      </c>
    </row>
    <row r="6" customFormat="false" ht="23.85" hidden="false" customHeight="false" outlineLevel="0" collapsed="false">
      <c r="A6" s="6" t="s">
        <v>347</v>
      </c>
      <c r="B6" s="6" t="s">
        <v>348</v>
      </c>
      <c r="C6" s="6" t="s">
        <v>362</v>
      </c>
      <c r="D6" s="6" t="s">
        <v>363</v>
      </c>
      <c r="E6" s="6" t="s">
        <v>351</v>
      </c>
      <c r="F6" s="6" t="s">
        <v>352</v>
      </c>
      <c r="G6" s="6" t="s">
        <v>353</v>
      </c>
      <c r="H6" s="6" t="s">
        <v>359</v>
      </c>
      <c r="I6" s="6" t="s">
        <v>364</v>
      </c>
      <c r="J6" s="6" t="s">
        <v>365</v>
      </c>
    </row>
    <row r="7" customFormat="false" ht="23.85" hidden="false" customHeight="false" outlineLevel="0" collapsed="false">
      <c r="A7" s="6" t="s">
        <v>347</v>
      </c>
      <c r="B7" s="6" t="s">
        <v>348</v>
      </c>
      <c r="C7" s="6" t="s">
        <v>366</v>
      </c>
      <c r="D7" s="6" t="s">
        <v>367</v>
      </c>
      <c r="E7" s="6" t="s">
        <v>351</v>
      </c>
      <c r="F7" s="6" t="s">
        <v>352</v>
      </c>
      <c r="G7" s="6" t="s">
        <v>353</v>
      </c>
      <c r="H7" s="6" t="s">
        <v>359</v>
      </c>
      <c r="I7" s="6" t="s">
        <v>368</v>
      </c>
      <c r="J7" s="6" t="s">
        <v>369</v>
      </c>
    </row>
    <row r="8" customFormat="false" ht="23.85" hidden="false" customHeight="false" outlineLevel="0" collapsed="false">
      <c r="A8" s="6" t="s">
        <v>347</v>
      </c>
      <c r="B8" s="6" t="s">
        <v>348</v>
      </c>
      <c r="C8" s="6" t="s">
        <v>370</v>
      </c>
      <c r="D8" s="6" t="s">
        <v>371</v>
      </c>
      <c r="E8" s="6" t="s">
        <v>351</v>
      </c>
      <c r="F8" s="6" t="s">
        <v>352</v>
      </c>
      <c r="G8" s="6" t="s">
        <v>353</v>
      </c>
      <c r="H8" s="6" t="s">
        <v>359</v>
      </c>
      <c r="I8" s="6" t="s">
        <v>372</v>
      </c>
      <c r="J8" s="6" t="s">
        <v>373</v>
      </c>
    </row>
    <row r="9" customFormat="false" ht="23.85" hidden="false" customHeight="false" outlineLevel="0" collapsed="false">
      <c r="A9" s="6" t="s">
        <v>347</v>
      </c>
      <c r="B9" s="6" t="s">
        <v>374</v>
      </c>
      <c r="C9" s="6" t="s">
        <v>375</v>
      </c>
      <c r="D9" s="6" t="s">
        <v>376</v>
      </c>
      <c r="E9" s="6" t="s">
        <v>351</v>
      </c>
      <c r="F9" s="6" t="s">
        <v>377</v>
      </c>
      <c r="G9" s="6" t="s">
        <v>353</v>
      </c>
      <c r="H9" s="6" t="s">
        <v>378</v>
      </c>
      <c r="I9" s="6" t="s">
        <v>379</v>
      </c>
      <c r="J9" s="6" t="s">
        <v>380</v>
      </c>
    </row>
    <row r="10" customFormat="false" ht="23.85" hidden="false" customHeight="false" outlineLevel="0" collapsed="false">
      <c r="A10" s="6" t="s">
        <v>347</v>
      </c>
      <c r="B10" s="6" t="s">
        <v>374</v>
      </c>
      <c r="C10" s="6" t="s">
        <v>381</v>
      </c>
      <c r="D10" s="6" t="s">
        <v>382</v>
      </c>
      <c r="E10" s="6" t="s">
        <v>351</v>
      </c>
      <c r="F10" s="6" t="s">
        <v>377</v>
      </c>
      <c r="G10" s="6" t="s">
        <v>353</v>
      </c>
      <c r="H10" s="6" t="s">
        <v>383</v>
      </c>
      <c r="I10" s="6" t="s">
        <v>384</v>
      </c>
      <c r="J10" s="6" t="s">
        <v>385</v>
      </c>
    </row>
    <row r="11" customFormat="false" ht="23.85" hidden="false" customHeight="false" outlineLevel="0" collapsed="false">
      <c r="A11" s="6" t="s">
        <v>386</v>
      </c>
      <c r="B11" s="6" t="s">
        <v>387</v>
      </c>
      <c r="C11" s="6" t="s">
        <v>388</v>
      </c>
      <c r="D11" s="6" t="s">
        <v>389</v>
      </c>
      <c r="E11" s="6" t="s">
        <v>390</v>
      </c>
      <c r="F11" s="6" t="s">
        <v>391</v>
      </c>
      <c r="G11" s="6" t="s">
        <v>392</v>
      </c>
      <c r="H11" s="6" t="s">
        <v>393</v>
      </c>
      <c r="I11" s="6" t="s">
        <v>394</v>
      </c>
      <c r="J11" s="6" t="s">
        <v>395</v>
      </c>
    </row>
    <row r="12" customFormat="false" ht="23.85" hidden="false" customHeight="false" outlineLevel="0" collapsed="false">
      <c r="A12" s="6" t="s">
        <v>386</v>
      </c>
      <c r="B12" s="6" t="s">
        <v>387</v>
      </c>
      <c r="C12" s="6" t="s">
        <v>396</v>
      </c>
      <c r="D12" s="6" t="s">
        <v>397</v>
      </c>
      <c r="E12" s="6" t="s">
        <v>390</v>
      </c>
      <c r="F12" s="6" t="s">
        <v>398</v>
      </c>
      <c r="G12" s="6" t="s">
        <v>392</v>
      </c>
      <c r="H12" s="6" t="s">
        <v>399</v>
      </c>
      <c r="I12" s="6" t="s">
        <v>400</v>
      </c>
      <c r="J12" s="6" t="s">
        <v>401</v>
      </c>
    </row>
    <row r="13" customFormat="false" ht="35.05" hidden="false" customHeight="false" outlineLevel="0" collapsed="false">
      <c r="A13" s="6" t="s">
        <v>386</v>
      </c>
      <c r="B13" s="6" t="s">
        <v>374</v>
      </c>
      <c r="C13" s="6" t="s">
        <v>375</v>
      </c>
      <c r="D13" s="6" t="s">
        <v>402</v>
      </c>
      <c r="E13" s="6" t="s">
        <v>390</v>
      </c>
      <c r="F13" s="6" t="s">
        <v>403</v>
      </c>
      <c r="G13" s="6" t="s">
        <v>392</v>
      </c>
      <c r="H13" s="6" t="s">
        <v>404</v>
      </c>
      <c r="I13" s="6" t="s">
        <v>405</v>
      </c>
      <c r="J13" s="6" t="s">
        <v>406</v>
      </c>
    </row>
    <row r="14" customFormat="false" ht="23.85" hidden="false" customHeight="false" outlineLevel="0" collapsed="false">
      <c r="A14" s="6" t="s">
        <v>407</v>
      </c>
      <c r="B14" s="6" t="s">
        <v>374</v>
      </c>
      <c r="C14" s="6" t="s">
        <v>408</v>
      </c>
      <c r="D14" s="6" t="s">
        <v>409</v>
      </c>
      <c r="E14" s="6" t="s">
        <v>410</v>
      </c>
      <c r="F14" s="6" t="s">
        <v>411</v>
      </c>
      <c r="G14" s="6" t="s">
        <v>412</v>
      </c>
      <c r="H14" s="6" t="s">
        <v>413</v>
      </c>
      <c r="I14" s="6" t="s">
        <v>414</v>
      </c>
      <c r="J14" s="6" t="s">
        <v>415</v>
      </c>
    </row>
    <row r="15" customFormat="false" ht="23.85" hidden="false" customHeight="false" outlineLevel="0" collapsed="false">
      <c r="A15" s="6" t="s">
        <v>407</v>
      </c>
      <c r="B15" s="6" t="s">
        <v>374</v>
      </c>
      <c r="C15" s="6" t="s">
        <v>375</v>
      </c>
      <c r="D15" s="6" t="s">
        <v>416</v>
      </c>
      <c r="E15" s="6" t="s">
        <v>410</v>
      </c>
      <c r="F15" s="6" t="s">
        <v>411</v>
      </c>
      <c r="G15" s="6" t="s">
        <v>412</v>
      </c>
      <c r="H15" s="6" t="s">
        <v>417</v>
      </c>
      <c r="I15" s="6" t="s">
        <v>418</v>
      </c>
      <c r="J15" s="6" t="s">
        <v>419</v>
      </c>
    </row>
    <row r="16" customFormat="false" ht="23.85" hidden="false" customHeight="false" outlineLevel="0" collapsed="false">
      <c r="A16" s="6" t="s">
        <v>420</v>
      </c>
      <c r="B16" s="6" t="s">
        <v>374</v>
      </c>
      <c r="C16" s="6" t="s">
        <v>421</v>
      </c>
      <c r="D16" s="6" t="s">
        <v>422</v>
      </c>
      <c r="E16" s="6" t="s">
        <v>423</v>
      </c>
      <c r="F16" s="6" t="s">
        <v>424</v>
      </c>
      <c r="G16" s="6" t="s">
        <v>425</v>
      </c>
      <c r="H16" s="6" t="s">
        <v>425</v>
      </c>
      <c r="I16" s="6" t="s">
        <v>426</v>
      </c>
      <c r="J16" s="6" t="s">
        <v>427</v>
      </c>
    </row>
    <row r="17" customFormat="false" ht="35.05" hidden="false" customHeight="false" outlineLevel="0" collapsed="false">
      <c r="A17" s="6" t="s">
        <v>279</v>
      </c>
      <c r="B17" s="6" t="s">
        <v>428</v>
      </c>
      <c r="C17" s="6" t="s">
        <v>429</v>
      </c>
      <c r="D17" s="6" t="s">
        <v>430</v>
      </c>
      <c r="E17" s="6" t="s">
        <v>431</v>
      </c>
      <c r="F17" s="6" t="s">
        <v>432</v>
      </c>
      <c r="G17" s="6" t="s">
        <v>433</v>
      </c>
      <c r="H17" s="6" t="s">
        <v>434</v>
      </c>
      <c r="I17" s="6" t="s">
        <v>435</v>
      </c>
      <c r="J17" s="6" t="s">
        <v>436</v>
      </c>
    </row>
    <row r="18" customFormat="false" ht="35.05" hidden="false" customHeight="false" outlineLevel="0" collapsed="false">
      <c r="A18" s="6" t="s">
        <v>279</v>
      </c>
      <c r="B18" s="6" t="s">
        <v>428</v>
      </c>
      <c r="C18" s="6" t="s">
        <v>437</v>
      </c>
      <c r="D18" s="6" t="s">
        <v>438</v>
      </c>
      <c r="E18" s="6" t="s">
        <v>431</v>
      </c>
      <c r="F18" s="6" t="s">
        <v>432</v>
      </c>
      <c r="G18" s="6" t="s">
        <v>433</v>
      </c>
      <c r="H18" s="6" t="s">
        <v>439</v>
      </c>
      <c r="I18" s="6" t="s">
        <v>440</v>
      </c>
      <c r="J18" s="6" t="s">
        <v>441</v>
      </c>
    </row>
    <row r="19" customFormat="false" ht="35.05" hidden="false" customHeight="false" outlineLevel="0" collapsed="false">
      <c r="A19" s="6" t="s">
        <v>442</v>
      </c>
      <c r="B19" s="6" t="s">
        <v>348</v>
      </c>
      <c r="C19" s="6" t="s">
        <v>443</v>
      </c>
      <c r="D19" s="6" t="s">
        <v>444</v>
      </c>
      <c r="E19" s="6" t="s">
        <v>445</v>
      </c>
      <c r="F19" s="6" t="s">
        <v>446</v>
      </c>
      <c r="G19" s="6" t="s">
        <v>447</v>
      </c>
      <c r="H19" s="6" t="s">
        <v>448</v>
      </c>
      <c r="I19" s="6" t="s">
        <v>449</v>
      </c>
      <c r="J19" s="6" t="s">
        <v>450</v>
      </c>
    </row>
    <row r="20" customFormat="false" ht="23.85" hidden="false" customHeight="false" outlineLevel="0" collapsed="false">
      <c r="A20" s="6" t="s">
        <v>442</v>
      </c>
      <c r="B20" s="6" t="s">
        <v>348</v>
      </c>
      <c r="C20" s="6" t="s">
        <v>451</v>
      </c>
      <c r="D20" s="6" t="s">
        <v>452</v>
      </c>
      <c r="E20" s="6" t="s">
        <v>445</v>
      </c>
      <c r="F20" s="6" t="s">
        <v>446</v>
      </c>
      <c r="G20" s="6" t="s">
        <v>447</v>
      </c>
      <c r="H20" s="6" t="s">
        <v>453</v>
      </c>
      <c r="I20" s="6" t="s">
        <v>454</v>
      </c>
      <c r="J20" s="6" t="s">
        <v>455</v>
      </c>
    </row>
    <row r="21" customFormat="false" ht="23.85" hidden="false" customHeight="false" outlineLevel="0" collapsed="false">
      <c r="A21" s="6" t="s">
        <v>442</v>
      </c>
      <c r="B21" s="6" t="s">
        <v>348</v>
      </c>
      <c r="C21" s="6" t="s">
        <v>456</v>
      </c>
      <c r="D21" s="6" t="s">
        <v>457</v>
      </c>
      <c r="E21" s="6" t="s">
        <v>445</v>
      </c>
      <c r="F21" s="6" t="s">
        <v>446</v>
      </c>
      <c r="G21" s="6" t="s">
        <v>447</v>
      </c>
      <c r="H21" s="6" t="s">
        <v>458</v>
      </c>
      <c r="I21" s="6" t="s">
        <v>459</v>
      </c>
      <c r="J21" s="6" t="s">
        <v>460</v>
      </c>
    </row>
    <row r="22" customFormat="false" ht="35.05" hidden="false" customHeight="false" outlineLevel="0" collapsed="false">
      <c r="A22" s="6" t="s">
        <v>461</v>
      </c>
      <c r="B22" s="6" t="s">
        <v>338</v>
      </c>
      <c r="C22" s="6" t="s">
        <v>462</v>
      </c>
      <c r="D22" s="6" t="s">
        <v>463</v>
      </c>
      <c r="E22" s="6" t="s">
        <v>464</v>
      </c>
      <c r="F22" s="6" t="s">
        <v>465</v>
      </c>
      <c r="G22" s="6" t="s">
        <v>466</v>
      </c>
      <c r="H22" s="6" t="s">
        <v>467</v>
      </c>
      <c r="I22" s="6" t="s">
        <v>468</v>
      </c>
      <c r="J22" s="6" t="s">
        <v>469</v>
      </c>
    </row>
    <row r="23" customFormat="false" ht="23.85" hidden="false" customHeight="false" outlineLevel="0" collapsed="false">
      <c r="A23" s="6" t="s">
        <v>461</v>
      </c>
      <c r="B23" s="6" t="s">
        <v>338</v>
      </c>
      <c r="C23" s="6" t="s">
        <v>470</v>
      </c>
      <c r="D23" s="6" t="s">
        <v>471</v>
      </c>
      <c r="E23" s="6" t="s">
        <v>464</v>
      </c>
      <c r="F23" s="6" t="s">
        <v>472</v>
      </c>
      <c r="G23" s="6" t="s">
        <v>466</v>
      </c>
      <c r="H23" s="6" t="s">
        <v>473</v>
      </c>
      <c r="I23" s="6" t="s">
        <v>474</v>
      </c>
      <c r="J23" s="6" t="s">
        <v>475</v>
      </c>
    </row>
    <row r="24" customFormat="false" ht="23.85" hidden="false" customHeight="false" outlineLevel="0" collapsed="false">
      <c r="A24" s="6" t="s">
        <v>461</v>
      </c>
      <c r="B24" s="6" t="s">
        <v>338</v>
      </c>
      <c r="C24" s="6" t="s">
        <v>476</v>
      </c>
      <c r="D24" s="6" t="s">
        <v>477</v>
      </c>
      <c r="E24" s="6" t="s">
        <v>464</v>
      </c>
      <c r="F24" s="6" t="s">
        <v>472</v>
      </c>
      <c r="G24" s="6" t="s">
        <v>466</v>
      </c>
      <c r="H24" s="6" t="s">
        <v>473</v>
      </c>
      <c r="I24" s="6" t="s">
        <v>478</v>
      </c>
      <c r="J24" s="6" t="s">
        <v>479</v>
      </c>
    </row>
    <row r="25" customFormat="false" ht="23.85" hidden="false" customHeight="false" outlineLevel="0" collapsed="false">
      <c r="A25" s="6" t="s">
        <v>461</v>
      </c>
      <c r="B25" s="6" t="s">
        <v>348</v>
      </c>
      <c r="C25" s="6" t="s">
        <v>443</v>
      </c>
      <c r="D25" s="6" t="s">
        <v>480</v>
      </c>
      <c r="E25" s="6" t="s">
        <v>464</v>
      </c>
      <c r="F25" s="6" t="s">
        <v>472</v>
      </c>
      <c r="G25" s="6" t="s">
        <v>481</v>
      </c>
      <c r="H25" s="6" t="s">
        <v>473</v>
      </c>
      <c r="I25" s="6" t="s">
        <v>482</v>
      </c>
      <c r="J25" s="6" t="s">
        <v>483</v>
      </c>
    </row>
    <row r="26" customFormat="false" ht="35.05" hidden="false" customHeight="false" outlineLevel="0" collapsed="false">
      <c r="A26" s="6" t="s">
        <v>484</v>
      </c>
      <c r="B26" s="6" t="s">
        <v>374</v>
      </c>
      <c r="C26" s="6" t="s">
        <v>485</v>
      </c>
      <c r="D26" s="6" t="s">
        <v>486</v>
      </c>
      <c r="E26" s="6" t="s">
        <v>487</v>
      </c>
      <c r="F26" s="6" t="s">
        <v>488</v>
      </c>
      <c r="G26" s="6" t="s">
        <v>489</v>
      </c>
      <c r="H26" s="6" t="s">
        <v>490</v>
      </c>
      <c r="I26" s="6" t="s">
        <v>491</v>
      </c>
      <c r="J26" s="6" t="s">
        <v>492</v>
      </c>
    </row>
    <row r="27" customFormat="false" ht="23.85" hidden="false" customHeight="false" outlineLevel="0" collapsed="false">
      <c r="A27" s="6" t="s">
        <v>149</v>
      </c>
      <c r="B27" s="6" t="s">
        <v>493</v>
      </c>
      <c r="C27" s="6" t="s">
        <v>494</v>
      </c>
      <c r="D27" s="6" t="s">
        <v>495</v>
      </c>
      <c r="E27" s="6" t="s">
        <v>496</v>
      </c>
      <c r="F27" s="6" t="s">
        <v>497</v>
      </c>
      <c r="G27" s="6" t="s">
        <v>498</v>
      </c>
      <c r="H27" s="6" t="s">
        <v>490</v>
      </c>
      <c r="I27" s="6" t="s">
        <v>499</v>
      </c>
      <c r="J27" s="6" t="s">
        <v>500</v>
      </c>
    </row>
    <row r="28" customFormat="false" ht="35.05" hidden="false" customHeight="false" outlineLevel="0" collapsed="false">
      <c r="A28" s="6" t="s">
        <v>501</v>
      </c>
      <c r="B28" s="6" t="s">
        <v>493</v>
      </c>
      <c r="C28" s="6" t="s">
        <v>502</v>
      </c>
      <c r="D28" s="6" t="s">
        <v>503</v>
      </c>
      <c r="E28" s="6" t="s">
        <v>504</v>
      </c>
      <c r="F28" s="6" t="s">
        <v>505</v>
      </c>
      <c r="G28" s="6" t="s">
        <v>506</v>
      </c>
      <c r="H28" s="6" t="s">
        <v>507</v>
      </c>
      <c r="I28" s="6" t="s">
        <v>508</v>
      </c>
      <c r="J28" s="6" t="s">
        <v>509</v>
      </c>
    </row>
    <row r="29" customFormat="false" ht="23.85" hidden="false" customHeight="false" outlineLevel="0" collapsed="false">
      <c r="A29" s="6" t="s">
        <v>157</v>
      </c>
      <c r="B29" s="6" t="s">
        <v>493</v>
      </c>
      <c r="C29" s="6" t="s">
        <v>510</v>
      </c>
      <c r="D29" s="6" t="s">
        <v>511</v>
      </c>
      <c r="E29" s="6" t="s">
        <v>512</v>
      </c>
      <c r="F29" s="6" t="s">
        <v>513</v>
      </c>
      <c r="G29" s="6" t="s">
        <v>498</v>
      </c>
      <c r="H29" s="6" t="s">
        <v>490</v>
      </c>
      <c r="I29" s="6" t="s">
        <v>514</v>
      </c>
      <c r="J29" s="6" t="s">
        <v>515</v>
      </c>
    </row>
    <row r="30" customFormat="false" ht="35.05" hidden="false" customHeight="false" outlineLevel="0" collapsed="false">
      <c r="A30" s="6" t="s">
        <v>134</v>
      </c>
      <c r="B30" s="6" t="s">
        <v>516</v>
      </c>
      <c r="C30" s="6" t="s">
        <v>517</v>
      </c>
      <c r="D30" s="6" t="s">
        <v>518</v>
      </c>
      <c r="E30" s="6" t="s">
        <v>519</v>
      </c>
      <c r="F30" s="6" t="s">
        <v>520</v>
      </c>
      <c r="G30" s="6" t="s">
        <v>498</v>
      </c>
      <c r="H30" s="6" t="s">
        <v>490</v>
      </c>
      <c r="I30" s="6" t="s">
        <v>521</v>
      </c>
      <c r="J30" s="6" t="s">
        <v>522</v>
      </c>
    </row>
    <row r="31" customFormat="false" ht="35.05" hidden="false" customHeight="false" outlineLevel="0" collapsed="false">
      <c r="A31" s="6" t="s">
        <v>523</v>
      </c>
      <c r="B31" s="6" t="s">
        <v>516</v>
      </c>
      <c r="C31" s="6" t="s">
        <v>524</v>
      </c>
      <c r="D31" s="6" t="s">
        <v>525</v>
      </c>
      <c r="E31" s="6" t="s">
        <v>526</v>
      </c>
      <c r="F31" s="6" t="s">
        <v>527</v>
      </c>
      <c r="G31" s="6" t="s">
        <v>528</v>
      </c>
      <c r="H31" s="6" t="s">
        <v>529</v>
      </c>
      <c r="I31" s="6" t="s">
        <v>530</v>
      </c>
      <c r="J31" s="6" t="s">
        <v>531</v>
      </c>
    </row>
    <row r="32" customFormat="false" ht="35.05" hidden="false" customHeight="false" outlineLevel="0" collapsed="false">
      <c r="A32" s="6" t="s">
        <v>532</v>
      </c>
      <c r="B32" s="6" t="s">
        <v>533</v>
      </c>
      <c r="C32" s="6" t="s">
        <v>534</v>
      </c>
      <c r="D32" s="6" t="s">
        <v>535</v>
      </c>
      <c r="E32" s="6" t="s">
        <v>536</v>
      </c>
      <c r="F32" s="6" t="s">
        <v>537</v>
      </c>
      <c r="G32" s="6" t="s">
        <v>538</v>
      </c>
      <c r="H32" s="6" t="s">
        <v>539</v>
      </c>
      <c r="I32" s="6" t="s">
        <v>540</v>
      </c>
      <c r="J32" s="6" t="s">
        <v>541</v>
      </c>
    </row>
    <row r="33" customFormat="false" ht="23.85" hidden="false" customHeight="false" outlineLevel="0" collapsed="false">
      <c r="A33" s="6" t="s">
        <v>542</v>
      </c>
      <c r="B33" s="6" t="s">
        <v>428</v>
      </c>
      <c r="C33" s="6" t="s">
        <v>543</v>
      </c>
      <c r="D33" s="6" t="s">
        <v>544</v>
      </c>
      <c r="E33" s="6" t="s">
        <v>545</v>
      </c>
      <c r="F33" s="6" t="s">
        <v>546</v>
      </c>
      <c r="G33" s="6" t="s">
        <v>498</v>
      </c>
      <c r="H33" s="6" t="s">
        <v>490</v>
      </c>
      <c r="I33" s="6" t="s">
        <v>547</v>
      </c>
      <c r="J33" s="6" t="s">
        <v>548</v>
      </c>
    </row>
  </sheetData>
  <autoFilter ref="A2:J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6" min="5" style="0" width="32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4" t="s">
        <v>549</v>
      </c>
      <c r="B1" s="4"/>
      <c r="C1" s="4"/>
      <c r="D1" s="4"/>
      <c r="E1" s="4"/>
      <c r="F1" s="4"/>
      <c r="G1" s="4"/>
    </row>
    <row r="2" customFormat="false" ht="35.05" hidden="false" customHeight="false" outlineLevel="0" collapsed="false">
      <c r="A2" s="5" t="s">
        <v>329</v>
      </c>
      <c r="B2" s="5" t="s">
        <v>550</v>
      </c>
      <c r="C2" s="5" t="s">
        <v>551</v>
      </c>
      <c r="D2" s="5" t="s">
        <v>552</v>
      </c>
      <c r="E2" s="5" t="s">
        <v>553</v>
      </c>
      <c r="F2" s="5" t="s">
        <v>554</v>
      </c>
      <c r="G2" s="5" t="s">
        <v>555</v>
      </c>
    </row>
    <row r="3" customFormat="false" ht="23.85" hidden="false" customHeight="false" outlineLevel="0" collapsed="false">
      <c r="A3" s="6" t="s">
        <v>339</v>
      </c>
      <c r="B3" s="7" t="n">
        <f aca="false">SUMPRODUCT(--ISNUMBER(SEARCH("Decision Tree",'2. Algorithms'!$C$3:$C$1000)))</f>
        <v>1</v>
      </c>
      <c r="C3" s="6" t="s">
        <v>556</v>
      </c>
      <c r="D3" s="6" t="s">
        <v>557</v>
      </c>
      <c r="E3" s="6" t="s">
        <v>558</v>
      </c>
      <c r="F3" s="6" t="s">
        <v>559</v>
      </c>
      <c r="G3" s="6" t="s">
        <v>560</v>
      </c>
    </row>
    <row r="4" customFormat="false" ht="23.85" hidden="false" customHeight="false" outlineLevel="0" collapsed="false">
      <c r="A4" s="6" t="s">
        <v>443</v>
      </c>
      <c r="B4" s="7" t="n">
        <f aca="false">SUMPRODUCT(--ISNUMBER(SEARCH("Random Forest",'2. Algorithms'!$C$3:$C$1000)))</f>
        <v>3</v>
      </c>
      <c r="C4" s="6" t="s">
        <v>561</v>
      </c>
      <c r="D4" s="6" t="s">
        <v>562</v>
      </c>
      <c r="E4" s="6" t="s">
        <v>563</v>
      </c>
      <c r="F4" s="6" t="s">
        <v>564</v>
      </c>
      <c r="G4" s="6" t="s">
        <v>565</v>
      </c>
    </row>
    <row r="5" customFormat="false" ht="23.85" hidden="false" customHeight="false" outlineLevel="0" collapsed="false">
      <c r="A5" s="6" t="s">
        <v>566</v>
      </c>
      <c r="B5" s="7" t="n">
        <f aca="false">SUMPRODUCT(--ISNUMBER(SEARCH("Gradient Boosting",'2. Algorithms'!$C$3:$C$1000)))</f>
        <v>2</v>
      </c>
      <c r="C5" s="6" t="s">
        <v>567</v>
      </c>
      <c r="D5" s="6" t="s">
        <v>568</v>
      </c>
      <c r="E5" s="6" t="s">
        <v>569</v>
      </c>
      <c r="F5" s="6" t="s">
        <v>570</v>
      </c>
      <c r="G5" s="6" t="s">
        <v>565</v>
      </c>
    </row>
    <row r="6" customFormat="false" ht="23.85" hidden="false" customHeight="false" outlineLevel="0" collapsed="false">
      <c r="A6" s="6" t="s">
        <v>366</v>
      </c>
      <c r="B6" s="7" t="n">
        <f aca="false">SUMPRODUCT(--ISNUMBER(SEARCH("XGBoost",'2. Algorithms'!$C$3:$C$1000)))</f>
        <v>1</v>
      </c>
      <c r="C6" s="6" t="s">
        <v>571</v>
      </c>
      <c r="D6" s="6" t="s">
        <v>572</v>
      </c>
      <c r="E6" s="6" t="s">
        <v>573</v>
      </c>
      <c r="F6" s="6" t="s">
        <v>574</v>
      </c>
      <c r="G6" s="6" t="s">
        <v>565</v>
      </c>
    </row>
    <row r="7" customFormat="false" ht="23.85" hidden="false" customHeight="false" outlineLevel="0" collapsed="false">
      <c r="A7" s="6" t="s">
        <v>575</v>
      </c>
      <c r="B7" s="7" t="n">
        <f aca="false">SUMPRODUCT(--ISNUMBER(SEARCH("LightGBM",'2. Algorithms'!$C$3:$C$1000)))</f>
        <v>1</v>
      </c>
      <c r="C7" s="6" t="s">
        <v>571</v>
      </c>
      <c r="D7" s="6" t="s">
        <v>576</v>
      </c>
      <c r="E7" s="6" t="s">
        <v>577</v>
      </c>
      <c r="F7" s="6" t="s">
        <v>578</v>
      </c>
      <c r="G7" s="6" t="s">
        <v>560</v>
      </c>
    </row>
    <row r="8" customFormat="false" ht="23.85" hidden="false" customHeight="false" outlineLevel="0" collapsed="false">
      <c r="A8" s="6" t="s">
        <v>456</v>
      </c>
      <c r="B8" s="7" t="n">
        <f aca="false">SUMPRODUCT(--ISNUMBER(SEARCH("AdaBoost",'2. Algorithms'!$C$3:$C$1000)))</f>
        <v>1</v>
      </c>
      <c r="C8" s="6" t="s">
        <v>579</v>
      </c>
      <c r="D8" s="6" t="s">
        <v>580</v>
      </c>
      <c r="E8" s="6" t="s">
        <v>581</v>
      </c>
      <c r="F8" s="6" t="s">
        <v>582</v>
      </c>
      <c r="G8" s="6" t="s">
        <v>560</v>
      </c>
    </row>
    <row r="9" customFormat="false" ht="23.85" hidden="false" customHeight="false" outlineLevel="0" collapsed="false">
      <c r="A9" s="6" t="s">
        <v>583</v>
      </c>
      <c r="B9" s="7" t="n">
        <f aca="false">SUMPRODUCT(--ISNUMBER(SEARCH("LSTM",'2. Algorithms'!$C$3:$C$1000)))</f>
        <v>5</v>
      </c>
      <c r="C9" s="6" t="s">
        <v>584</v>
      </c>
      <c r="D9" s="6" t="s">
        <v>585</v>
      </c>
      <c r="E9" s="6" t="s">
        <v>586</v>
      </c>
      <c r="F9" s="6" t="s">
        <v>587</v>
      </c>
      <c r="G9" s="6" t="s">
        <v>565</v>
      </c>
    </row>
    <row r="10" customFormat="false" ht="23.85" hidden="false" customHeight="false" outlineLevel="0" collapsed="false">
      <c r="A10" s="6" t="s">
        <v>588</v>
      </c>
      <c r="B10" s="7" t="n">
        <f aca="false">SUMPRODUCT(--ISNUMBER(SEARCH("Neural Network",'2. Algorithms'!$C$3:$C$1000)))</f>
        <v>3</v>
      </c>
      <c r="C10" s="6" t="s">
        <v>589</v>
      </c>
      <c r="D10" s="6" t="s">
        <v>590</v>
      </c>
      <c r="E10" s="6" t="s">
        <v>591</v>
      </c>
      <c r="F10" s="6" t="s">
        <v>592</v>
      </c>
      <c r="G10" s="6" t="s">
        <v>560</v>
      </c>
    </row>
    <row r="11" customFormat="false" ht="23.85" hidden="false" customHeight="false" outlineLevel="0" collapsed="false">
      <c r="A11" s="6" t="s">
        <v>485</v>
      </c>
      <c r="B11" s="7" t="n">
        <f aca="false">SUMPRODUCT(--ISNUMBER(SEARCH("Convolutional Neural Network",'2. Algorithms'!$C$3:$C$1000)))</f>
        <v>1</v>
      </c>
      <c r="C11" s="6" t="s">
        <v>593</v>
      </c>
      <c r="D11" s="6" t="s">
        <v>594</v>
      </c>
      <c r="E11" s="6" t="s">
        <v>595</v>
      </c>
      <c r="F11" s="6" t="s">
        <v>596</v>
      </c>
      <c r="G11" s="6" t="s">
        <v>565</v>
      </c>
    </row>
    <row r="12" customFormat="false" ht="23.85" hidden="false" customHeight="false" outlineLevel="0" collapsed="false">
      <c r="A12" s="6" t="s">
        <v>597</v>
      </c>
      <c r="B12" s="7" t="n">
        <f aca="false">SUMPRODUCT(--ISNUMBER(SEARCH("YOLO",'2. Algorithms'!$C$3:$C$1000)))</f>
        <v>2</v>
      </c>
      <c r="C12" s="6" t="s">
        <v>593</v>
      </c>
      <c r="D12" s="6" t="s">
        <v>598</v>
      </c>
      <c r="E12" s="6" t="s">
        <v>599</v>
      </c>
      <c r="F12" s="6" t="s">
        <v>600</v>
      </c>
      <c r="G12" s="6" t="s">
        <v>565</v>
      </c>
    </row>
    <row r="13" customFormat="false" ht="23.85" hidden="false" customHeight="false" outlineLevel="0" collapsed="false">
      <c r="A13" s="6" t="s">
        <v>601</v>
      </c>
      <c r="B13" s="7" t="n">
        <f aca="false">SUMPRODUCT(--ISNUMBER(SEARCH("U-Net",'2. Algorithms'!$C$3:$C$1000)))</f>
        <v>1</v>
      </c>
      <c r="C13" s="6" t="s">
        <v>602</v>
      </c>
      <c r="D13" s="6" t="s">
        <v>603</v>
      </c>
      <c r="E13" s="6" t="s">
        <v>604</v>
      </c>
      <c r="F13" s="6" t="s">
        <v>605</v>
      </c>
      <c r="G13" s="6" t="s">
        <v>560</v>
      </c>
    </row>
    <row r="14" customFormat="false" ht="23.85" hidden="false" customHeight="false" outlineLevel="0" collapsed="false">
      <c r="A14" s="6" t="s">
        <v>606</v>
      </c>
      <c r="B14" s="7" t="n">
        <f aca="false">SUMPRODUCT(--ISNUMBER(SEARCH("Visual Large Language Model",'2. Algorithms'!$C$3:$C$1000)))</f>
        <v>1</v>
      </c>
      <c r="C14" s="6" t="s">
        <v>593</v>
      </c>
      <c r="D14" s="6" t="s">
        <v>607</v>
      </c>
      <c r="E14" s="6" t="s">
        <v>608</v>
      </c>
      <c r="F14" s="6" t="s">
        <v>609</v>
      </c>
      <c r="G14" s="6" t="s">
        <v>610</v>
      </c>
    </row>
    <row r="15" customFormat="false" ht="23.85" hidden="false" customHeight="false" outlineLevel="0" collapsed="false">
      <c r="A15" s="6" t="s">
        <v>611</v>
      </c>
      <c r="B15" s="7" t="n">
        <f aca="false">SUMPRODUCT(--ISNUMBER(SEARCH("Bayesian Generalized Additive Model",'2. Algorithms'!$C$3:$C$1000)))</f>
        <v>2</v>
      </c>
      <c r="C15" s="6" t="s">
        <v>612</v>
      </c>
      <c r="D15" s="6" t="s">
        <v>613</v>
      </c>
      <c r="E15" s="6" t="s">
        <v>440</v>
      </c>
      <c r="F15" s="6" t="s">
        <v>614</v>
      </c>
      <c r="G15" s="6" t="s">
        <v>560</v>
      </c>
    </row>
    <row r="16" customFormat="false" ht="35.05" hidden="false" customHeight="false" outlineLevel="0" collapsed="false">
      <c r="A16" s="6" t="s">
        <v>615</v>
      </c>
      <c r="B16" s="7" t="n">
        <f aca="false">SUMPRODUCT(--ISNUMBER(SEARCH("SARIMA",'2. Algorithms'!$C$3:$C$1000)))</f>
        <v>1</v>
      </c>
      <c r="C16" s="6" t="s">
        <v>616</v>
      </c>
      <c r="D16" s="6" t="s">
        <v>617</v>
      </c>
      <c r="E16" s="6" t="s">
        <v>618</v>
      </c>
      <c r="F16" s="6" t="s">
        <v>619</v>
      </c>
      <c r="G16" s="6" t="s">
        <v>560</v>
      </c>
    </row>
    <row r="17" customFormat="false" ht="23.85" hidden="false" customHeight="false" outlineLevel="0" collapsed="false">
      <c r="A17" s="6" t="s">
        <v>620</v>
      </c>
      <c r="B17" s="7" t="n">
        <f aca="false">SUMPRODUCT(--ISNUMBER(SEARCH("Linear Regression",'2. Algorithms'!$C$3:$C$1000)))</f>
        <v>1</v>
      </c>
      <c r="C17" s="6" t="s">
        <v>593</v>
      </c>
      <c r="D17" s="6" t="s">
        <v>621</v>
      </c>
      <c r="E17" s="6" t="s">
        <v>622</v>
      </c>
      <c r="F17" s="6" t="s">
        <v>623</v>
      </c>
      <c r="G17" s="6" t="s">
        <v>624</v>
      </c>
    </row>
    <row r="18" customFormat="false" ht="23.85" hidden="false" customHeight="false" outlineLevel="0" collapsed="false">
      <c r="A18" s="6" t="s">
        <v>625</v>
      </c>
      <c r="B18" s="7" t="n">
        <f aca="false">SUMPRODUCT(--ISNUMBER(SEARCH("CNN-LSTM",'2. Algorithms'!$C$3:$C$1000)))</f>
        <v>1</v>
      </c>
      <c r="C18" s="6" t="s">
        <v>626</v>
      </c>
      <c r="D18" s="6" t="s">
        <v>627</v>
      </c>
      <c r="E18" s="6" t="s">
        <v>628</v>
      </c>
      <c r="F18" s="6" t="s">
        <v>629</v>
      </c>
      <c r="G18" s="6" t="s">
        <v>565</v>
      </c>
    </row>
    <row r="19" customFormat="false" ht="35.05" hidden="false" customHeight="false" outlineLevel="0" collapsed="false">
      <c r="A19" s="6" t="s">
        <v>534</v>
      </c>
      <c r="B19" s="7" t="n">
        <f aca="false">SUMPRODUCT(--ISNUMBER(SEARCH("Deep Generative Model",'2. Algorithms'!$C$3:$C$1000)))</f>
        <v>1</v>
      </c>
      <c r="C19" s="6" t="s">
        <v>630</v>
      </c>
      <c r="D19" s="6" t="s">
        <v>631</v>
      </c>
      <c r="E19" s="6" t="s">
        <v>632</v>
      </c>
      <c r="F19" s="6" t="s">
        <v>633</v>
      </c>
      <c r="G19" s="6" t="s">
        <v>610</v>
      </c>
    </row>
    <row r="20" customFormat="false" ht="23.85" hidden="false" customHeight="false" outlineLevel="0" collapsed="false">
      <c r="A20" s="6" t="s">
        <v>634</v>
      </c>
      <c r="B20" s="7" t="n">
        <f aca="false">SUMPRODUCT(--ISNUMBER(SEARCH("Naive Bayes",'2. Algorithms'!$C$3:$C$1000)))</f>
        <v>1</v>
      </c>
      <c r="C20" s="6" t="s">
        <v>635</v>
      </c>
      <c r="D20" s="6" t="s">
        <v>636</v>
      </c>
      <c r="E20" s="6" t="s">
        <v>637</v>
      </c>
      <c r="F20" s="6" t="s">
        <v>638</v>
      </c>
      <c r="G20" s="6" t="s">
        <v>560</v>
      </c>
    </row>
  </sheetData>
  <autoFilter ref="A2:G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4" min="3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4" t="s">
        <v>639</v>
      </c>
      <c r="B1" s="4"/>
      <c r="C1" s="4"/>
      <c r="D1" s="4"/>
      <c r="E1" s="4"/>
      <c r="F1" s="4"/>
      <c r="G1" s="4"/>
      <c r="H1" s="4"/>
      <c r="I1" s="4"/>
    </row>
    <row r="2" customFormat="false" ht="23.85" hidden="false" customHeight="false" outlineLevel="0" collapsed="false">
      <c r="A2" s="5" t="s">
        <v>640</v>
      </c>
      <c r="B2" s="5" t="s">
        <v>641</v>
      </c>
      <c r="C2" s="5" t="s">
        <v>642</v>
      </c>
      <c r="D2" s="5" t="s">
        <v>643</v>
      </c>
      <c r="E2" s="5" t="s">
        <v>644</v>
      </c>
      <c r="F2" s="5" t="s">
        <v>331</v>
      </c>
      <c r="G2" s="5" t="s">
        <v>645</v>
      </c>
      <c r="H2" s="5" t="s">
        <v>646</v>
      </c>
      <c r="I2" s="5" t="s">
        <v>647</v>
      </c>
    </row>
    <row r="3" customFormat="false" ht="35.05" hidden="false" customHeight="false" outlineLevel="0" collapsed="false">
      <c r="A3" s="6" t="s">
        <v>648</v>
      </c>
      <c r="B3" s="6" t="s">
        <v>649</v>
      </c>
      <c r="C3" s="6" t="s">
        <v>650</v>
      </c>
      <c r="D3" s="6" t="s">
        <v>651</v>
      </c>
      <c r="E3" s="6" t="s">
        <v>652</v>
      </c>
      <c r="F3" s="6" t="s">
        <v>653</v>
      </c>
      <c r="G3" s="6" t="s">
        <v>654</v>
      </c>
      <c r="H3" s="6" t="s">
        <v>655</v>
      </c>
      <c r="I3" s="6" t="s">
        <v>656</v>
      </c>
    </row>
    <row r="4" customFormat="false" ht="23.85" hidden="false" customHeight="false" outlineLevel="0" collapsed="false">
      <c r="A4" s="6" t="s">
        <v>657</v>
      </c>
      <c r="B4" s="6" t="s">
        <v>658</v>
      </c>
      <c r="C4" s="6" t="s">
        <v>659</v>
      </c>
      <c r="D4" s="6" t="s">
        <v>660</v>
      </c>
      <c r="E4" s="6" t="s">
        <v>661</v>
      </c>
      <c r="F4" s="6" t="s">
        <v>662</v>
      </c>
      <c r="G4" s="6" t="s">
        <v>663</v>
      </c>
      <c r="H4" s="6" t="s">
        <v>45</v>
      </c>
      <c r="I4" s="6" t="s">
        <v>386</v>
      </c>
    </row>
    <row r="5" customFormat="false" ht="23.85" hidden="false" customHeight="false" outlineLevel="0" collapsed="false">
      <c r="A5" s="6" t="s">
        <v>664</v>
      </c>
      <c r="B5" s="6" t="s">
        <v>665</v>
      </c>
      <c r="C5" s="6" t="s">
        <v>666</v>
      </c>
      <c r="D5" s="6" t="s">
        <v>667</v>
      </c>
      <c r="E5" s="6" t="s">
        <v>668</v>
      </c>
      <c r="F5" s="6" t="s">
        <v>669</v>
      </c>
      <c r="G5" s="6" t="s">
        <v>663</v>
      </c>
      <c r="H5" s="6" t="s">
        <v>45</v>
      </c>
      <c r="I5" s="6" t="s">
        <v>670</v>
      </c>
    </row>
    <row r="6" customFormat="false" ht="35.05" hidden="false" customHeight="false" outlineLevel="0" collapsed="false">
      <c r="A6" s="6" t="s">
        <v>671</v>
      </c>
      <c r="B6" s="6" t="s">
        <v>672</v>
      </c>
      <c r="C6" s="6" t="s">
        <v>673</v>
      </c>
      <c r="D6" s="6" t="s">
        <v>674</v>
      </c>
      <c r="E6" s="6" t="s">
        <v>675</v>
      </c>
      <c r="F6" s="6" t="s">
        <v>676</v>
      </c>
      <c r="G6" s="6" t="s">
        <v>663</v>
      </c>
      <c r="H6" s="6" t="s">
        <v>45</v>
      </c>
      <c r="I6" s="6" t="s">
        <v>677</v>
      </c>
    </row>
    <row r="7" customFormat="false" ht="23.85" hidden="false" customHeight="false" outlineLevel="0" collapsed="false">
      <c r="A7" s="6" t="s">
        <v>678</v>
      </c>
      <c r="B7" s="6" t="s">
        <v>679</v>
      </c>
      <c r="C7" s="6" t="s">
        <v>680</v>
      </c>
      <c r="D7" s="6" t="s">
        <v>425</v>
      </c>
      <c r="E7" s="6" t="s">
        <v>681</v>
      </c>
      <c r="F7" s="6" t="s">
        <v>682</v>
      </c>
      <c r="G7" s="6" t="s">
        <v>663</v>
      </c>
      <c r="H7" s="6" t="s">
        <v>45</v>
      </c>
      <c r="I7" s="6" t="s">
        <v>683</v>
      </c>
    </row>
    <row r="8" customFormat="false" ht="23.85" hidden="false" customHeight="false" outlineLevel="0" collapsed="false">
      <c r="A8" s="6" t="s">
        <v>684</v>
      </c>
      <c r="B8" s="6" t="s">
        <v>685</v>
      </c>
      <c r="C8" s="6" t="s">
        <v>686</v>
      </c>
      <c r="D8" s="6" t="s">
        <v>687</v>
      </c>
      <c r="E8" s="6" t="s">
        <v>688</v>
      </c>
      <c r="F8" s="6" t="s">
        <v>689</v>
      </c>
      <c r="G8" s="6" t="s">
        <v>663</v>
      </c>
      <c r="H8" s="6" t="s">
        <v>45</v>
      </c>
      <c r="I8" s="6" t="s">
        <v>690</v>
      </c>
    </row>
    <row r="9" customFormat="false" ht="35.05" hidden="false" customHeight="false" outlineLevel="0" collapsed="false">
      <c r="A9" s="6" t="s">
        <v>691</v>
      </c>
      <c r="B9" s="6" t="s">
        <v>692</v>
      </c>
      <c r="C9" s="6" t="s">
        <v>693</v>
      </c>
      <c r="D9" s="6" t="s">
        <v>694</v>
      </c>
      <c r="E9" s="6" t="s">
        <v>695</v>
      </c>
      <c r="F9" s="6" t="s">
        <v>696</v>
      </c>
      <c r="G9" s="6" t="s">
        <v>663</v>
      </c>
      <c r="H9" s="6" t="s">
        <v>45</v>
      </c>
      <c r="I9" s="6" t="s">
        <v>697</v>
      </c>
    </row>
    <row r="10" customFormat="false" ht="35.05" hidden="false" customHeight="false" outlineLevel="0" collapsed="false">
      <c r="A10" s="6" t="s">
        <v>698</v>
      </c>
      <c r="B10" s="6" t="s">
        <v>699</v>
      </c>
      <c r="C10" s="6" t="s">
        <v>700</v>
      </c>
      <c r="D10" s="6" t="s">
        <v>701</v>
      </c>
      <c r="E10" s="6" t="s">
        <v>702</v>
      </c>
      <c r="F10" s="6" t="s">
        <v>703</v>
      </c>
      <c r="G10" s="6" t="s">
        <v>663</v>
      </c>
      <c r="H10" s="6" t="s">
        <v>45</v>
      </c>
      <c r="I10" s="6" t="s">
        <v>704</v>
      </c>
    </row>
    <row r="11" customFormat="false" ht="23.85" hidden="false" customHeight="false" outlineLevel="0" collapsed="false">
      <c r="A11" s="6" t="s">
        <v>705</v>
      </c>
      <c r="B11" s="6" t="s">
        <v>706</v>
      </c>
      <c r="C11" s="6" t="s">
        <v>707</v>
      </c>
      <c r="D11" s="6" t="s">
        <v>708</v>
      </c>
      <c r="E11" s="6" t="s">
        <v>709</v>
      </c>
      <c r="F11" s="6" t="s">
        <v>504</v>
      </c>
      <c r="G11" s="6" t="s">
        <v>663</v>
      </c>
      <c r="H11" s="6" t="s">
        <v>45</v>
      </c>
      <c r="I11" s="6" t="s">
        <v>710</v>
      </c>
    </row>
    <row r="12" customFormat="false" ht="35.05" hidden="false" customHeight="false" outlineLevel="0" collapsed="false">
      <c r="A12" s="6" t="s">
        <v>711</v>
      </c>
      <c r="B12" s="6" t="s">
        <v>712</v>
      </c>
      <c r="C12" s="6" t="s">
        <v>713</v>
      </c>
      <c r="D12" s="6" t="s">
        <v>714</v>
      </c>
      <c r="E12" s="6" t="s">
        <v>715</v>
      </c>
      <c r="F12" s="6" t="s">
        <v>716</v>
      </c>
      <c r="G12" s="6" t="s">
        <v>663</v>
      </c>
      <c r="H12" s="6" t="s">
        <v>45</v>
      </c>
      <c r="I12" s="6" t="s">
        <v>717</v>
      </c>
    </row>
    <row r="13" customFormat="false" ht="23.85" hidden="false" customHeight="false" outlineLevel="0" collapsed="false">
      <c r="A13" s="6" t="s">
        <v>718</v>
      </c>
      <c r="B13" s="6" t="s">
        <v>719</v>
      </c>
      <c r="C13" s="6" t="s">
        <v>720</v>
      </c>
      <c r="D13" s="6" t="s">
        <v>721</v>
      </c>
      <c r="E13" s="6" t="s">
        <v>488</v>
      </c>
      <c r="F13" s="6" t="s">
        <v>722</v>
      </c>
      <c r="G13" s="6" t="s">
        <v>663</v>
      </c>
      <c r="H13" s="6" t="s">
        <v>45</v>
      </c>
      <c r="I13" s="6" t="s">
        <v>142</v>
      </c>
    </row>
    <row r="14" customFormat="false" ht="23.85" hidden="false" customHeight="false" outlineLevel="0" collapsed="false">
      <c r="A14" s="6" t="s">
        <v>723</v>
      </c>
      <c r="B14" s="6" t="s">
        <v>724</v>
      </c>
      <c r="C14" s="6" t="s">
        <v>725</v>
      </c>
      <c r="D14" s="6" t="s">
        <v>726</v>
      </c>
      <c r="E14" s="6" t="s">
        <v>727</v>
      </c>
      <c r="F14" s="6" t="s">
        <v>728</v>
      </c>
      <c r="G14" s="6" t="s">
        <v>663</v>
      </c>
      <c r="H14" s="6" t="s">
        <v>45</v>
      </c>
      <c r="I14" s="6" t="s">
        <v>165</v>
      </c>
    </row>
    <row r="15" customFormat="false" ht="23.85" hidden="false" customHeight="false" outlineLevel="0" collapsed="false">
      <c r="A15" s="6" t="s">
        <v>729</v>
      </c>
      <c r="B15" s="6" t="s">
        <v>730</v>
      </c>
      <c r="C15" s="6" t="s">
        <v>731</v>
      </c>
      <c r="D15" s="6" t="s">
        <v>732</v>
      </c>
      <c r="E15" s="6" t="s">
        <v>733</v>
      </c>
      <c r="F15" s="6" t="s">
        <v>734</v>
      </c>
      <c r="G15" s="6" t="s">
        <v>663</v>
      </c>
      <c r="H15" s="6" t="s">
        <v>45</v>
      </c>
      <c r="I15" s="6" t="s">
        <v>225</v>
      </c>
    </row>
    <row r="16" customFormat="false" ht="35.05" hidden="false" customHeight="false" outlineLevel="0" collapsed="false">
      <c r="A16" s="6" t="s">
        <v>735</v>
      </c>
      <c r="B16" s="6" t="s">
        <v>736</v>
      </c>
      <c r="C16" s="6" t="s">
        <v>737</v>
      </c>
      <c r="D16" s="6" t="s">
        <v>738</v>
      </c>
      <c r="E16" s="6" t="s">
        <v>739</v>
      </c>
      <c r="F16" s="6" t="s">
        <v>740</v>
      </c>
      <c r="G16" s="6" t="s">
        <v>663</v>
      </c>
      <c r="H16" s="6" t="s">
        <v>45</v>
      </c>
      <c r="I16" s="6" t="s">
        <v>741</v>
      </c>
    </row>
    <row r="17" customFormat="false" ht="35.05" hidden="false" customHeight="false" outlineLevel="0" collapsed="false">
      <c r="A17" s="6" t="s">
        <v>742</v>
      </c>
      <c r="B17" s="6" t="s">
        <v>743</v>
      </c>
      <c r="C17" s="6" t="s">
        <v>744</v>
      </c>
      <c r="D17" s="6" t="s">
        <v>745</v>
      </c>
      <c r="E17" s="6" t="s">
        <v>746</v>
      </c>
      <c r="F17" s="6" t="s">
        <v>431</v>
      </c>
      <c r="G17" s="6" t="s">
        <v>663</v>
      </c>
      <c r="H17" s="6" t="s">
        <v>45</v>
      </c>
      <c r="I17" s="6" t="s">
        <v>279</v>
      </c>
    </row>
    <row r="18" customFormat="false" ht="35.05" hidden="false" customHeight="false" outlineLevel="0" collapsed="false">
      <c r="A18" s="6" t="s">
        <v>747</v>
      </c>
      <c r="B18" s="6" t="s">
        <v>748</v>
      </c>
      <c r="C18" s="6" t="s">
        <v>749</v>
      </c>
      <c r="D18" s="6" t="s">
        <v>750</v>
      </c>
      <c r="E18" s="6" t="s">
        <v>527</v>
      </c>
      <c r="F18" s="6" t="s">
        <v>526</v>
      </c>
      <c r="G18" s="6" t="s">
        <v>751</v>
      </c>
      <c r="H18" s="6" t="s">
        <v>752</v>
      </c>
      <c r="I18" s="6" t="s">
        <v>753</v>
      </c>
    </row>
    <row r="19" customFormat="false" ht="35.05" hidden="false" customHeight="false" outlineLevel="0" collapsed="false">
      <c r="A19" s="6" t="s">
        <v>754</v>
      </c>
      <c r="B19" s="6" t="s">
        <v>755</v>
      </c>
      <c r="C19" s="6" t="s">
        <v>756</v>
      </c>
      <c r="D19" s="6" t="s">
        <v>757</v>
      </c>
      <c r="E19" s="6" t="s">
        <v>758</v>
      </c>
      <c r="F19" s="6" t="s">
        <v>759</v>
      </c>
      <c r="G19" s="6" t="s">
        <v>760</v>
      </c>
      <c r="H19" s="6" t="s">
        <v>761</v>
      </c>
      <c r="I19" s="6" t="s">
        <v>762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4" t="s">
        <v>763</v>
      </c>
      <c r="B1" s="4"/>
      <c r="C1" s="4"/>
      <c r="D1" s="4"/>
      <c r="E1" s="4"/>
      <c r="F1" s="4"/>
    </row>
    <row r="2" customFormat="false" ht="23.85" hidden="false" customHeight="false" outlineLevel="0" collapsed="false">
      <c r="A2" s="5" t="s">
        <v>764</v>
      </c>
      <c r="B2" s="5" t="s">
        <v>765</v>
      </c>
      <c r="C2" s="5" t="s">
        <v>766</v>
      </c>
      <c r="D2" s="5" t="s">
        <v>767</v>
      </c>
      <c r="E2" s="5" t="s">
        <v>768</v>
      </c>
      <c r="F2" s="5" t="s">
        <v>647</v>
      </c>
    </row>
    <row r="3" customFormat="false" ht="23.85" hidden="false" customHeight="false" outlineLevel="0" collapsed="false">
      <c r="A3" s="6" t="s">
        <v>769</v>
      </c>
      <c r="B3" s="6" t="s">
        <v>770</v>
      </c>
      <c r="C3" s="6" t="s">
        <v>771</v>
      </c>
      <c r="D3" s="6" t="s">
        <v>772</v>
      </c>
      <c r="E3" s="6" t="s">
        <v>773</v>
      </c>
      <c r="F3" s="6" t="s">
        <v>774</v>
      </c>
    </row>
    <row r="4" customFormat="false" ht="23.85" hidden="false" customHeight="false" outlineLevel="0" collapsed="false">
      <c r="A4" s="6" t="s">
        <v>775</v>
      </c>
      <c r="B4" s="6" t="s">
        <v>770</v>
      </c>
      <c r="C4" s="6" t="s">
        <v>776</v>
      </c>
      <c r="D4" s="6" t="s">
        <v>777</v>
      </c>
      <c r="E4" s="6" t="s">
        <v>778</v>
      </c>
      <c r="F4" s="6" t="s">
        <v>779</v>
      </c>
    </row>
    <row r="5" customFormat="false" ht="23.85" hidden="false" customHeight="false" outlineLevel="0" collapsed="false">
      <c r="A5" s="6" t="s">
        <v>780</v>
      </c>
      <c r="B5" s="6" t="s">
        <v>770</v>
      </c>
      <c r="C5" s="6" t="s">
        <v>781</v>
      </c>
      <c r="D5" s="6" t="s">
        <v>782</v>
      </c>
      <c r="E5" s="6" t="s">
        <v>783</v>
      </c>
      <c r="F5" s="6" t="s">
        <v>784</v>
      </c>
    </row>
    <row r="6" customFormat="false" ht="23.85" hidden="false" customHeight="false" outlineLevel="0" collapsed="false">
      <c r="A6" s="6" t="s">
        <v>785</v>
      </c>
      <c r="B6" s="6" t="s">
        <v>770</v>
      </c>
      <c r="C6" s="6" t="s">
        <v>786</v>
      </c>
      <c r="D6" s="6" t="s">
        <v>787</v>
      </c>
      <c r="E6" s="6" t="s">
        <v>788</v>
      </c>
      <c r="F6" s="6" t="s">
        <v>789</v>
      </c>
    </row>
    <row r="7" customFormat="false" ht="23.85" hidden="false" customHeight="false" outlineLevel="0" collapsed="false">
      <c r="A7" s="6" t="s">
        <v>790</v>
      </c>
      <c r="B7" s="6" t="s">
        <v>791</v>
      </c>
      <c r="C7" s="6" t="s">
        <v>792</v>
      </c>
      <c r="D7" s="6" t="s">
        <v>793</v>
      </c>
      <c r="E7" s="6" t="s">
        <v>794</v>
      </c>
      <c r="F7" s="6" t="s">
        <v>795</v>
      </c>
    </row>
    <row r="8" customFormat="false" ht="23.85" hidden="false" customHeight="false" outlineLevel="0" collapsed="false">
      <c r="A8" s="6" t="s">
        <v>796</v>
      </c>
      <c r="B8" s="6" t="s">
        <v>791</v>
      </c>
      <c r="C8" s="6" t="s">
        <v>797</v>
      </c>
      <c r="D8" s="6" t="s">
        <v>798</v>
      </c>
      <c r="E8" s="6" t="s">
        <v>799</v>
      </c>
      <c r="F8" s="6" t="s">
        <v>800</v>
      </c>
    </row>
    <row r="9" customFormat="false" ht="23.85" hidden="false" customHeight="false" outlineLevel="0" collapsed="false">
      <c r="A9" s="6" t="s">
        <v>801</v>
      </c>
      <c r="B9" s="6" t="s">
        <v>770</v>
      </c>
      <c r="C9" s="6" t="s">
        <v>802</v>
      </c>
      <c r="D9" s="6" t="s">
        <v>803</v>
      </c>
      <c r="E9" s="6" t="s">
        <v>794</v>
      </c>
      <c r="F9" s="6" t="s">
        <v>804</v>
      </c>
    </row>
    <row r="10" customFormat="false" ht="23.85" hidden="false" customHeight="false" outlineLevel="0" collapsed="false">
      <c r="A10" s="6" t="s">
        <v>805</v>
      </c>
      <c r="B10" s="6" t="s">
        <v>791</v>
      </c>
      <c r="C10" s="6" t="s">
        <v>786</v>
      </c>
      <c r="D10" s="6" t="s">
        <v>806</v>
      </c>
      <c r="E10" s="6" t="s">
        <v>807</v>
      </c>
      <c r="F10" s="6" t="s">
        <v>808</v>
      </c>
    </row>
    <row r="11" customFormat="false" ht="23.85" hidden="false" customHeight="false" outlineLevel="0" collapsed="false">
      <c r="A11" s="6" t="s">
        <v>809</v>
      </c>
      <c r="B11" s="6" t="s">
        <v>791</v>
      </c>
      <c r="C11" s="6" t="s">
        <v>810</v>
      </c>
      <c r="D11" s="6" t="s">
        <v>811</v>
      </c>
      <c r="E11" s="6" t="s">
        <v>778</v>
      </c>
      <c r="F11" s="6" t="s">
        <v>812</v>
      </c>
    </row>
    <row r="12" customFormat="false" ht="23.85" hidden="false" customHeight="false" outlineLevel="0" collapsed="false">
      <c r="A12" s="6" t="s">
        <v>813</v>
      </c>
      <c r="B12" s="6" t="s">
        <v>814</v>
      </c>
      <c r="C12" s="6" t="s">
        <v>815</v>
      </c>
      <c r="D12" s="6" t="s">
        <v>816</v>
      </c>
      <c r="E12" s="6" t="s">
        <v>807</v>
      </c>
      <c r="F12" s="6" t="s">
        <v>817</v>
      </c>
    </row>
    <row r="13" customFormat="false" ht="23.85" hidden="false" customHeight="false" outlineLevel="0" collapsed="false">
      <c r="A13" s="6" t="s">
        <v>818</v>
      </c>
      <c r="B13" s="6" t="s">
        <v>819</v>
      </c>
      <c r="C13" s="6" t="s">
        <v>820</v>
      </c>
      <c r="D13" s="6" t="s">
        <v>821</v>
      </c>
      <c r="E13" s="6" t="s">
        <v>807</v>
      </c>
      <c r="F13" s="6" t="s">
        <v>822</v>
      </c>
    </row>
    <row r="14" customFormat="false" ht="23.85" hidden="false" customHeight="false" outlineLevel="0" collapsed="false">
      <c r="A14" s="6" t="s">
        <v>823</v>
      </c>
      <c r="B14" s="6" t="s">
        <v>814</v>
      </c>
      <c r="C14" s="6" t="s">
        <v>824</v>
      </c>
      <c r="D14" s="6" t="s">
        <v>825</v>
      </c>
      <c r="E14" s="6" t="s">
        <v>826</v>
      </c>
      <c r="F14" s="6" t="s">
        <v>827</v>
      </c>
    </row>
    <row r="15" customFormat="false" ht="23.85" hidden="false" customHeight="false" outlineLevel="0" collapsed="false">
      <c r="A15" s="6" t="s">
        <v>828</v>
      </c>
      <c r="B15" s="6" t="s">
        <v>819</v>
      </c>
      <c r="C15" s="6" t="s">
        <v>829</v>
      </c>
      <c r="D15" s="6" t="s">
        <v>830</v>
      </c>
      <c r="E15" s="6" t="s">
        <v>807</v>
      </c>
      <c r="F15" s="6" t="s">
        <v>831</v>
      </c>
    </row>
    <row r="16" customFormat="false" ht="23.85" hidden="false" customHeight="false" outlineLevel="0" collapsed="false">
      <c r="A16" s="6" t="s">
        <v>832</v>
      </c>
      <c r="B16" s="6" t="s">
        <v>791</v>
      </c>
      <c r="C16" s="6" t="s">
        <v>833</v>
      </c>
      <c r="D16" s="6" t="s">
        <v>834</v>
      </c>
      <c r="E16" s="6" t="s">
        <v>835</v>
      </c>
      <c r="F16" s="6" t="s">
        <v>836</v>
      </c>
    </row>
    <row r="17" customFormat="false" ht="23.85" hidden="false" customHeight="false" outlineLevel="0" collapsed="false">
      <c r="A17" s="6" t="s">
        <v>837</v>
      </c>
      <c r="B17" s="6" t="s">
        <v>791</v>
      </c>
      <c r="C17" s="6" t="s">
        <v>838</v>
      </c>
      <c r="D17" s="6" t="s">
        <v>839</v>
      </c>
      <c r="E17" s="6" t="s">
        <v>840</v>
      </c>
      <c r="F17" s="6" t="s">
        <v>841</v>
      </c>
    </row>
  </sheetData>
  <autoFilter ref="A2:F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46"/>
    <col collapsed="false" customWidth="true" hidden="false" outlineLevel="0" max="4" min="4" style="0" width="44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4" t="s">
        <v>842</v>
      </c>
      <c r="B1" s="4"/>
      <c r="C1" s="4"/>
      <c r="D1" s="4"/>
      <c r="E1" s="4"/>
    </row>
    <row r="2" customFormat="false" ht="15" hidden="false" customHeight="false" outlineLevel="0" collapsed="false">
      <c r="A2" s="5" t="s">
        <v>843</v>
      </c>
      <c r="B2" s="5" t="s">
        <v>844</v>
      </c>
      <c r="C2" s="5" t="s">
        <v>845</v>
      </c>
      <c r="D2" s="5" t="s">
        <v>846</v>
      </c>
      <c r="E2" s="5" t="s">
        <v>847</v>
      </c>
    </row>
    <row r="3" customFormat="false" ht="35.05" hidden="false" customHeight="false" outlineLevel="0" collapsed="false">
      <c r="A3" s="6" t="s">
        <v>848</v>
      </c>
      <c r="B3" s="6" t="s">
        <v>849</v>
      </c>
      <c r="C3" s="6" t="s">
        <v>850</v>
      </c>
      <c r="D3" s="6" t="s">
        <v>851</v>
      </c>
      <c r="E3" s="6" t="s">
        <v>852</v>
      </c>
    </row>
    <row r="4" customFormat="false" ht="35.05" hidden="false" customHeight="false" outlineLevel="0" collapsed="false">
      <c r="A4" s="6" t="s">
        <v>853</v>
      </c>
      <c r="B4" s="6" t="s">
        <v>854</v>
      </c>
      <c r="C4" s="6" t="s">
        <v>855</v>
      </c>
      <c r="D4" s="6" t="s">
        <v>856</v>
      </c>
      <c r="E4" s="6" t="s">
        <v>857</v>
      </c>
    </row>
    <row r="5" customFormat="false" ht="23.85" hidden="false" customHeight="false" outlineLevel="0" collapsed="false">
      <c r="A5" s="6" t="s">
        <v>858</v>
      </c>
      <c r="B5" s="6" t="s">
        <v>859</v>
      </c>
      <c r="C5" s="6" t="s">
        <v>860</v>
      </c>
      <c r="D5" s="6" t="s">
        <v>861</v>
      </c>
      <c r="E5" s="6" t="s">
        <v>862</v>
      </c>
    </row>
    <row r="6" customFormat="false" ht="35.05" hidden="false" customHeight="false" outlineLevel="0" collapsed="false">
      <c r="A6" s="6" t="s">
        <v>863</v>
      </c>
      <c r="B6" s="6" t="s">
        <v>864</v>
      </c>
      <c r="C6" s="6" t="s">
        <v>865</v>
      </c>
      <c r="D6" s="6" t="s">
        <v>866</v>
      </c>
      <c r="E6" s="6" t="s">
        <v>867</v>
      </c>
    </row>
    <row r="7" customFormat="false" ht="35.05" hidden="false" customHeight="false" outlineLevel="0" collapsed="false">
      <c r="A7" s="6" t="s">
        <v>868</v>
      </c>
      <c r="B7" s="6" t="s">
        <v>869</v>
      </c>
      <c r="C7" s="6" t="s">
        <v>870</v>
      </c>
      <c r="D7" s="6" t="s">
        <v>871</v>
      </c>
      <c r="E7" s="6" t="s">
        <v>872</v>
      </c>
    </row>
    <row r="8" customFormat="false" ht="35.05" hidden="false" customHeight="false" outlineLevel="0" collapsed="false">
      <c r="A8" s="6" t="s">
        <v>873</v>
      </c>
      <c r="B8" s="6" t="s">
        <v>874</v>
      </c>
      <c r="C8" s="6" t="s">
        <v>875</v>
      </c>
      <c r="D8" s="6" t="s">
        <v>876</v>
      </c>
      <c r="E8" s="6" t="s">
        <v>877</v>
      </c>
    </row>
    <row r="9" customFormat="false" ht="35.05" hidden="false" customHeight="false" outlineLevel="0" collapsed="false">
      <c r="A9" s="6" t="s">
        <v>878</v>
      </c>
      <c r="B9" s="6" t="s">
        <v>879</v>
      </c>
      <c r="C9" s="6" t="s">
        <v>880</v>
      </c>
      <c r="D9" s="6" t="s">
        <v>881</v>
      </c>
      <c r="E9" s="6" t="s">
        <v>882</v>
      </c>
    </row>
    <row r="10" customFormat="false" ht="35.05" hidden="false" customHeight="false" outlineLevel="0" collapsed="false">
      <c r="A10" s="6" t="s">
        <v>883</v>
      </c>
      <c r="B10" s="6" t="s">
        <v>884</v>
      </c>
      <c r="C10" s="6" t="s">
        <v>885</v>
      </c>
      <c r="D10" s="6" t="s">
        <v>886</v>
      </c>
      <c r="E10" s="6" t="s">
        <v>887</v>
      </c>
    </row>
    <row r="11" customFormat="false" ht="23.85" hidden="false" customHeight="false" outlineLevel="0" collapsed="false">
      <c r="A11" s="6" t="s">
        <v>888</v>
      </c>
      <c r="B11" s="6" t="s">
        <v>889</v>
      </c>
      <c r="C11" s="6" t="s">
        <v>885</v>
      </c>
      <c r="D11" s="6" t="s">
        <v>890</v>
      </c>
      <c r="E11" s="6" t="s">
        <v>891</v>
      </c>
    </row>
    <row r="12" customFormat="false" ht="23.85" hidden="false" customHeight="false" outlineLevel="0" collapsed="false">
      <c r="A12" s="6" t="s">
        <v>892</v>
      </c>
      <c r="B12" s="6" t="s">
        <v>893</v>
      </c>
      <c r="C12" s="6" t="s">
        <v>894</v>
      </c>
      <c r="D12" s="6" t="s">
        <v>895</v>
      </c>
      <c r="E12" s="6" t="s">
        <v>896</v>
      </c>
    </row>
    <row r="13" customFormat="false" ht="23.85" hidden="false" customHeight="false" outlineLevel="0" collapsed="false">
      <c r="A13" s="6" t="s">
        <v>897</v>
      </c>
      <c r="B13" s="6" t="s">
        <v>898</v>
      </c>
      <c r="C13" s="6" t="s">
        <v>899</v>
      </c>
      <c r="D13" s="6" t="s">
        <v>900</v>
      </c>
      <c r="E13" s="6" t="s">
        <v>901</v>
      </c>
    </row>
    <row r="14" customFormat="false" ht="35.05" hidden="false" customHeight="false" outlineLevel="0" collapsed="false">
      <c r="A14" s="6" t="s">
        <v>902</v>
      </c>
      <c r="B14" s="6" t="s">
        <v>903</v>
      </c>
      <c r="C14" s="6" t="s">
        <v>904</v>
      </c>
      <c r="D14" s="6" t="s">
        <v>905</v>
      </c>
      <c r="E14" s="6" t="s">
        <v>906</v>
      </c>
    </row>
  </sheetData>
  <autoFilter ref="A2:E2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907</v>
      </c>
      <c r="B1" s="4"/>
      <c r="C1" s="4"/>
    </row>
    <row r="2" customFormat="false" ht="15" hidden="false" customHeight="false" outlineLevel="0" collapsed="false">
      <c r="A2" s="5" t="s">
        <v>908</v>
      </c>
      <c r="B2" s="5" t="s">
        <v>909</v>
      </c>
      <c r="C2" s="5" t="s">
        <v>910</v>
      </c>
    </row>
    <row r="3" customFormat="false" ht="23.85" hidden="false" customHeight="false" outlineLevel="0" collapsed="false">
      <c r="A3" s="6" t="s">
        <v>911</v>
      </c>
      <c r="B3" s="6" t="s">
        <v>912</v>
      </c>
      <c r="C3" s="6" t="s">
        <v>913</v>
      </c>
    </row>
    <row r="4" customFormat="false" ht="23.85" hidden="false" customHeight="false" outlineLevel="0" collapsed="false">
      <c r="A4" s="6" t="s">
        <v>914</v>
      </c>
      <c r="B4" s="6" t="s">
        <v>915</v>
      </c>
      <c r="C4" s="6" t="s">
        <v>916</v>
      </c>
    </row>
    <row r="5" customFormat="false" ht="35.05" hidden="false" customHeight="false" outlineLevel="0" collapsed="false">
      <c r="A5" s="6" t="s">
        <v>917</v>
      </c>
      <c r="B5" s="6" t="s">
        <v>918</v>
      </c>
      <c r="C5" s="6" t="s">
        <v>919</v>
      </c>
    </row>
    <row r="6" customFormat="false" ht="23.85" hidden="false" customHeight="false" outlineLevel="0" collapsed="false">
      <c r="A6" s="6" t="s">
        <v>920</v>
      </c>
      <c r="B6" s="6" t="s">
        <v>921</v>
      </c>
      <c r="C6" s="6" t="s">
        <v>922</v>
      </c>
    </row>
    <row r="7" customFormat="false" ht="35.05" hidden="false" customHeight="false" outlineLevel="0" collapsed="false">
      <c r="A7" s="6" t="s">
        <v>923</v>
      </c>
      <c r="B7" s="6" t="s">
        <v>924</v>
      </c>
      <c r="C7" s="6" t="s">
        <v>925</v>
      </c>
    </row>
    <row r="8" customFormat="false" ht="35.05" hidden="false" customHeight="false" outlineLevel="0" collapsed="false">
      <c r="A8" s="6" t="s">
        <v>926</v>
      </c>
      <c r="B8" s="6" t="s">
        <v>927</v>
      </c>
      <c r="C8" s="6" t="s">
        <v>928</v>
      </c>
    </row>
    <row r="9" customFormat="false" ht="35.05" hidden="false" customHeight="false" outlineLevel="0" collapsed="false">
      <c r="A9" s="6" t="s">
        <v>929</v>
      </c>
      <c r="B9" s="6" t="s">
        <v>930</v>
      </c>
      <c r="C9" s="6" t="s">
        <v>931</v>
      </c>
    </row>
    <row r="10" customFormat="false" ht="23.85" hidden="false" customHeight="false" outlineLevel="0" collapsed="false">
      <c r="A10" s="6" t="s">
        <v>932</v>
      </c>
      <c r="B10" s="6" t="s">
        <v>933</v>
      </c>
      <c r="C10" s="6" t="s">
        <v>934</v>
      </c>
    </row>
    <row r="11" customFormat="false" ht="35.05" hidden="false" customHeight="false" outlineLevel="0" collapsed="false">
      <c r="A11" s="6" t="s">
        <v>935</v>
      </c>
      <c r="B11" s="6" t="s">
        <v>936</v>
      </c>
      <c r="C11" s="6" t="s">
        <v>937</v>
      </c>
    </row>
    <row r="12" customFormat="false" ht="35.05" hidden="false" customHeight="false" outlineLevel="0" collapsed="false">
      <c r="A12" s="6" t="s">
        <v>938</v>
      </c>
      <c r="B12" s="6" t="s">
        <v>939</v>
      </c>
      <c r="C12" s="6" t="s">
        <v>940</v>
      </c>
    </row>
    <row r="13" customFormat="false" ht="35.05" hidden="false" customHeight="false" outlineLevel="0" collapsed="false">
      <c r="A13" s="6" t="s">
        <v>941</v>
      </c>
      <c r="B13" s="6" t="s">
        <v>942</v>
      </c>
      <c r="C13" s="6" t="s">
        <v>943</v>
      </c>
    </row>
  </sheetData>
  <autoFilter ref="A2:C2"/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52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4" t="s">
        <v>944</v>
      </c>
      <c r="B1" s="4"/>
      <c r="C1" s="4"/>
      <c r="D1" s="4"/>
    </row>
    <row r="2" customFormat="false" ht="15" hidden="false" customHeight="false" outlineLevel="0" collapsed="false">
      <c r="A2" s="5" t="s">
        <v>945</v>
      </c>
      <c r="B2" s="5" t="s">
        <v>647</v>
      </c>
      <c r="C2" s="5" t="s">
        <v>946</v>
      </c>
      <c r="D2" s="5" t="s">
        <v>947</v>
      </c>
    </row>
    <row r="3" customFormat="false" ht="35.05" hidden="false" customHeight="false" outlineLevel="0" collapsed="false">
      <c r="A3" s="6" t="s">
        <v>948</v>
      </c>
      <c r="B3" s="6" t="s">
        <v>949</v>
      </c>
      <c r="C3" s="6" t="s">
        <v>950</v>
      </c>
      <c r="D3" s="6" t="s">
        <v>951</v>
      </c>
    </row>
    <row r="4" customFormat="false" ht="35.05" hidden="false" customHeight="false" outlineLevel="0" collapsed="false">
      <c r="A4" s="6" t="s">
        <v>952</v>
      </c>
      <c r="B4" s="6" t="s">
        <v>953</v>
      </c>
      <c r="C4" s="6" t="s">
        <v>954</v>
      </c>
      <c r="D4" s="6" t="s">
        <v>955</v>
      </c>
    </row>
    <row r="5" customFormat="false" ht="35.05" hidden="false" customHeight="false" outlineLevel="0" collapsed="false">
      <c r="A5" s="6" t="s">
        <v>956</v>
      </c>
      <c r="B5" s="6" t="s">
        <v>957</v>
      </c>
      <c r="C5" s="6" t="s">
        <v>958</v>
      </c>
      <c r="D5" s="6" t="s">
        <v>959</v>
      </c>
    </row>
    <row r="6" customFormat="false" ht="46.25" hidden="false" customHeight="false" outlineLevel="0" collapsed="false">
      <c r="A6" s="6" t="s">
        <v>960</v>
      </c>
      <c r="B6" s="6" t="s">
        <v>961</v>
      </c>
      <c r="C6" s="6" t="s">
        <v>962</v>
      </c>
      <c r="D6" s="6" t="s">
        <v>963</v>
      </c>
    </row>
    <row r="7" customFormat="false" ht="35.05" hidden="false" customHeight="false" outlineLevel="0" collapsed="false">
      <c r="A7" s="6" t="s">
        <v>964</v>
      </c>
      <c r="B7" s="6" t="s">
        <v>965</v>
      </c>
      <c r="C7" s="6" t="s">
        <v>966</v>
      </c>
      <c r="D7" s="6" t="s">
        <v>967</v>
      </c>
    </row>
    <row r="8" customFormat="false" ht="35.05" hidden="false" customHeight="false" outlineLevel="0" collapsed="false">
      <c r="A8" s="6" t="s">
        <v>968</v>
      </c>
      <c r="B8" s="6" t="s">
        <v>969</v>
      </c>
      <c r="C8" s="6" t="s">
        <v>970</v>
      </c>
      <c r="D8" s="6" t="s">
        <v>971</v>
      </c>
    </row>
    <row r="9" customFormat="false" ht="35.05" hidden="false" customHeight="false" outlineLevel="0" collapsed="false">
      <c r="A9" s="6" t="s">
        <v>972</v>
      </c>
      <c r="B9" s="6" t="s">
        <v>296</v>
      </c>
      <c r="C9" s="6" t="s">
        <v>973</v>
      </c>
      <c r="D9" s="6" t="s">
        <v>974</v>
      </c>
    </row>
    <row r="10" customFormat="false" ht="35.05" hidden="false" customHeight="false" outlineLevel="0" collapsed="false">
      <c r="A10" s="6" t="s">
        <v>975</v>
      </c>
      <c r="B10" s="6" t="s">
        <v>976</v>
      </c>
      <c r="C10" s="6" t="s">
        <v>977</v>
      </c>
      <c r="D10" s="6" t="s">
        <v>978</v>
      </c>
    </row>
    <row r="11" customFormat="false" ht="35.05" hidden="false" customHeight="false" outlineLevel="0" collapsed="false">
      <c r="A11" s="6" t="s">
        <v>979</v>
      </c>
      <c r="B11" s="6" t="s">
        <v>134</v>
      </c>
      <c r="C11" s="6" t="s">
        <v>980</v>
      </c>
      <c r="D11" s="6" t="s">
        <v>981</v>
      </c>
    </row>
    <row r="12" customFormat="false" ht="35.05" hidden="false" customHeight="false" outlineLevel="0" collapsed="false">
      <c r="A12" s="6" t="s">
        <v>982</v>
      </c>
      <c r="B12" s="6" t="s">
        <v>983</v>
      </c>
      <c r="C12" s="6" t="s">
        <v>984</v>
      </c>
      <c r="D12" s="6" t="s">
        <v>985</v>
      </c>
    </row>
    <row r="13" customFormat="false" ht="35.05" hidden="false" customHeight="false" outlineLevel="0" collapsed="false">
      <c r="A13" s="6" t="s">
        <v>986</v>
      </c>
      <c r="B13" s="6" t="s">
        <v>987</v>
      </c>
      <c r="C13" s="6" t="s">
        <v>988</v>
      </c>
      <c r="D13" s="6" t="s">
        <v>989</v>
      </c>
    </row>
  </sheetData>
  <autoFilter ref="A2:D2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58"/>
    <col collapsed="false" customWidth="true" hidden="false" outlineLevel="0" max="4" min="4" style="0" width="56"/>
  </cols>
  <sheetData>
    <row r="1" customFormat="false" ht="15" hidden="false" customHeight="false" outlineLevel="0" collapsed="false">
      <c r="A1" s="4" t="s">
        <v>990</v>
      </c>
      <c r="B1" s="4"/>
      <c r="C1" s="4"/>
      <c r="D1" s="4"/>
    </row>
    <row r="2" customFormat="false" ht="15" hidden="false" customHeight="false" outlineLevel="0" collapsed="false">
      <c r="A2" s="5" t="s">
        <v>26</v>
      </c>
      <c r="B2" s="5" t="s">
        <v>991</v>
      </c>
      <c r="C2" s="5" t="s">
        <v>992</v>
      </c>
      <c r="D2" s="5" t="s">
        <v>993</v>
      </c>
    </row>
    <row r="3" customFormat="false" ht="23.85" hidden="false" customHeight="false" outlineLevel="0" collapsed="false">
      <c r="A3" s="6" t="s">
        <v>994</v>
      </c>
      <c r="B3" s="6" t="s">
        <v>995</v>
      </c>
      <c r="C3" s="6" t="s">
        <v>996</v>
      </c>
      <c r="D3" s="6" t="s">
        <v>997</v>
      </c>
    </row>
    <row r="4" customFormat="false" ht="46.25" hidden="false" customHeight="false" outlineLevel="0" collapsed="false">
      <c r="A4" s="6" t="s">
        <v>998</v>
      </c>
      <c r="B4" s="6" t="s">
        <v>999</v>
      </c>
      <c r="C4" s="6" t="s">
        <v>1000</v>
      </c>
      <c r="D4" s="6" t="s">
        <v>1001</v>
      </c>
    </row>
    <row r="5" customFormat="false" ht="35.05" hidden="false" customHeight="false" outlineLevel="0" collapsed="false">
      <c r="A5" s="6" t="s">
        <v>1002</v>
      </c>
      <c r="B5" s="6" t="s">
        <v>1003</v>
      </c>
      <c r="C5" s="6" t="s">
        <v>1004</v>
      </c>
      <c r="D5" s="6" t="s">
        <v>1005</v>
      </c>
    </row>
    <row r="6" customFormat="false" ht="35.05" hidden="false" customHeight="false" outlineLevel="0" collapsed="false">
      <c r="A6" s="6" t="s">
        <v>1006</v>
      </c>
      <c r="B6" s="6" t="s">
        <v>1007</v>
      </c>
      <c r="C6" s="6" t="s">
        <v>1008</v>
      </c>
      <c r="D6" s="6" t="s">
        <v>1009</v>
      </c>
    </row>
    <row r="7" customFormat="false" ht="57.45" hidden="false" customHeight="false" outlineLevel="0" collapsed="false">
      <c r="A7" s="6" t="s">
        <v>1010</v>
      </c>
      <c r="B7" s="6" t="s">
        <v>1011</v>
      </c>
      <c r="C7" s="6" t="s">
        <v>1012</v>
      </c>
      <c r="D7" s="6" t="s">
        <v>1013</v>
      </c>
    </row>
    <row r="8" customFormat="false" ht="57.45" hidden="false" customHeight="false" outlineLevel="0" collapsed="false">
      <c r="A8" s="6" t="s">
        <v>1014</v>
      </c>
      <c r="B8" s="6" t="s">
        <v>1015</v>
      </c>
      <c r="C8" s="6" t="s">
        <v>1016</v>
      </c>
      <c r="D8" s="6" t="s">
        <v>1017</v>
      </c>
    </row>
    <row r="9" customFormat="false" ht="57.45" hidden="false" customHeight="false" outlineLevel="0" collapsed="false">
      <c r="A9" s="6" t="s">
        <v>1018</v>
      </c>
      <c r="B9" s="6" t="s">
        <v>1019</v>
      </c>
      <c r="C9" s="6" t="s">
        <v>1020</v>
      </c>
      <c r="D9" s="6" t="s">
        <v>1021</v>
      </c>
    </row>
    <row r="10" customFormat="false" ht="68.65" hidden="false" customHeight="false" outlineLevel="0" collapsed="false">
      <c r="A10" s="6" t="s">
        <v>1022</v>
      </c>
      <c r="B10" s="6" t="s">
        <v>1023</v>
      </c>
      <c r="C10" s="6" t="s">
        <v>1024</v>
      </c>
      <c r="D10" s="6" t="s">
        <v>1025</v>
      </c>
    </row>
  </sheetData>
  <autoFilter ref="A2:D2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4" t="s">
        <v>1026</v>
      </c>
      <c r="B1" s="4"/>
    </row>
    <row r="2" customFormat="false" ht="15" hidden="false" customHeight="false" outlineLevel="0" collapsed="false">
      <c r="A2" s="5" t="s">
        <v>1027</v>
      </c>
      <c r="B2" s="5" t="s">
        <v>1028</v>
      </c>
    </row>
    <row r="3" customFormat="false" ht="35.05" hidden="false" customHeight="false" outlineLevel="0" collapsed="false">
      <c r="A3" s="8" t="s">
        <v>1029</v>
      </c>
      <c r="B3" s="6" t="s">
        <v>1030</v>
      </c>
    </row>
    <row r="4" customFormat="false" ht="46.25" hidden="false" customHeight="false" outlineLevel="0" collapsed="false">
      <c r="A4" s="8" t="s">
        <v>1031</v>
      </c>
      <c r="B4" s="6" t="s">
        <v>1032</v>
      </c>
    </row>
    <row r="5" customFormat="false" ht="35.05" hidden="false" customHeight="false" outlineLevel="0" collapsed="false">
      <c r="A5" s="8" t="s">
        <v>1033</v>
      </c>
      <c r="B5" s="6" t="s">
        <v>1034</v>
      </c>
    </row>
    <row r="6" customFormat="false" ht="35.05" hidden="false" customHeight="false" outlineLevel="0" collapsed="false">
      <c r="A6" s="8" t="s">
        <v>1035</v>
      </c>
      <c r="B6" s="6" t="s">
        <v>1036</v>
      </c>
    </row>
    <row r="7" customFormat="false" ht="46.25" hidden="false" customHeight="false" outlineLevel="0" collapsed="false">
      <c r="A7" s="8" t="s">
        <v>1037</v>
      </c>
      <c r="B7" s="6" t="s">
        <v>1038</v>
      </c>
    </row>
    <row r="8" customFormat="false" ht="46.25" hidden="false" customHeight="false" outlineLevel="0" collapsed="false">
      <c r="A8" s="8" t="s">
        <v>1039</v>
      </c>
      <c r="B8" s="6" t="s">
        <v>1040</v>
      </c>
    </row>
    <row r="9" customFormat="false" ht="57.45" hidden="false" customHeight="false" outlineLevel="0" collapsed="false">
      <c r="A9" s="8" t="s">
        <v>1041</v>
      </c>
      <c r="B9" s="6" t="s">
        <v>1042</v>
      </c>
    </row>
  </sheetData>
  <autoFilter ref="A2:B2"/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2026-09-23T09:12:28Z</dcterms:created>
  <dc:creator>openpyxl</dc:creator>
  <dc:description/>
  <dc:language>en-US</dc:language>
  <cp:lastModifiedBy/>
  <dcterms:modified xsi:type="dcterms:W3CDTF">2026-09-23T09:12:28Z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